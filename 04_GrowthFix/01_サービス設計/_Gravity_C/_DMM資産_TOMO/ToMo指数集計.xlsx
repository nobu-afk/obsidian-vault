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sheetId="1" r:id="rId4"/>
    <sheet state="visible" name="processed_data" sheetId="2" r:id="rId5"/>
    <sheet state="visible" name="aggregate" sheetId="3" r:id="rId6"/>
    <sheet state="visible" name="graph" sheetId="4" r:id="rId7"/>
    <sheet state="visible" name="questions" sheetId="5" r:id="rId8"/>
  </sheets>
  <definedNames/>
  <calcPr/>
</workbook>
</file>

<file path=xl/comments1.xml><?xml version="1.0" encoding="utf-8"?>
<comments xmlns:r="http://schemas.openxmlformats.org/officeDocument/2006/relationships" xmlns="http://schemas.openxmlformats.org/spreadsheetml/2006/main">
  <authors>
    <author/>
  </authors>
  <commentList>
    <comment authorId="0" ref="H1">
      <text>
        <t xml:space="preserve">設問６（惰性）：NapoleonTeamの仕事をしているのは、特にこの仕事をしている理由もなく、惰性で続けているからだ（ 1 全く当てはまらない ~ 7 とても当てはまる）
	-北澤由貴</t>
      </text>
    </comment>
    <comment authorId="0" ref="G1">
      <text>
        <t xml:space="preserve">設問５（経済的圧力）：NapoleonTeamの仕事をしているのは、この仕事を失うと、金銭的な目標・生活の維持ができないからだ（ 1 全く当てはまらない ~ 7 とても当てはまる）
	-北澤由貴</t>
      </text>
    </comment>
    <comment authorId="0" ref="F1">
      <text>
        <t xml:space="preserve">設問４（感情的圧力）：NapoleonTeamの仕事をしているのは、ステークホルダー、同僚、上司、その他、自分を気にかけてくれる人を落胆させないためだ（ 1 全く当てはまらない ~ 7 とても当てはまる）
	-北澤由貴</t>
      </text>
    </comment>
    <comment authorId="0" ref="E1">
      <text>
        <t xml:space="preserve">設問３（可能性）：NapoleonTeamの仕事をしているのは、将来の自分の事につながる能力が磨かれるなど、二次的な成果が大切だからだ（ 1 全く当てはまらない ~ 7 とても当てはまる）
	-北澤由貴</t>
      </text>
    </comment>
    <comment authorId="0" ref="D1">
      <text>
        <t xml:space="preserve">設問２（目的）：NapoleonTeamの仕事をしているのは、仕事によって直接生み出される成果、世の中への影響が大切だからだ（ 1 全く当てはまらない ~ 7 とても当てはまる）
	-北澤由貴</t>
      </text>
    </comment>
    <comment authorId="0" ref="C1">
      <text>
        <t xml:space="preserve">設問１（楽しさ）：NapoleonTeamの仕事をしているのは、仕事そのものが楽しいからだ（ 1 全く当てはまらない ~ 7 とても当てはまる）
	-北澤由貴</t>
      </text>
    </comment>
  </commentList>
</comments>
</file>

<file path=xl/comments2.xml><?xml version="1.0" encoding="utf-8"?>
<comments xmlns:r="http://schemas.openxmlformats.org/officeDocument/2006/relationships" xmlns="http://schemas.openxmlformats.org/spreadsheetml/2006/main">
  <authors>
    <author/>
  </authors>
  <commentList>
    <comment authorId="0" ref="I1">
      <text>
        <t xml:space="preserve">ToMo指数=(「楽しさ指数」×10+「目的指数」×5+「可能性指数」×1.66)-(「感情的圧力指数」×1.66+「経済的圧力指数」×5+「惰性指数」×10
	-北澤由貴</t>
      </text>
    </comment>
    <comment authorId="0" ref="H1">
      <text>
        <t xml:space="preserve">反転項目（1が良い、7が悪い）になっているので、逆転させる
	-北澤由貴</t>
      </text>
    </comment>
    <comment authorId="0" ref="G1">
      <text>
        <t xml:space="preserve">反転項目（1が良い、7が悪い）になっているので、逆転させる
	-北澤由貴</t>
      </text>
    </comment>
    <comment authorId="0" ref="F1">
      <text>
        <t xml:space="preserve">反転項目（1が良い、7が悪い）になっているので、逆転させる
	-北澤由貴</t>
      </text>
    </comment>
  </commentList>
</comments>
</file>

<file path=xl/sharedStrings.xml><?xml version="1.0" encoding="utf-8"?>
<sst xmlns="http://schemas.openxmlformats.org/spreadsheetml/2006/main" count="135" uniqueCount="101">
  <si>
    <t>YYYY-MM</t>
  </si>
  <si>
    <t>Name</t>
  </si>
  <si>
    <t>Q1</t>
  </si>
  <si>
    <t>Q2</t>
  </si>
  <si>
    <t>Q3</t>
  </si>
  <si>
    <t>Q4</t>
  </si>
  <si>
    <t>Q5</t>
  </si>
  <si>
    <t>Q6</t>
  </si>
  <si>
    <t>Q1Comment</t>
  </si>
  <si>
    <t>Q2Comment</t>
  </si>
  <si>
    <t>Q3Comment</t>
  </si>
  <si>
    <t>Q4Comment</t>
  </si>
  <si>
    <t>Q5Comment</t>
  </si>
  <si>
    <t>Q6Comment</t>
  </si>
  <si>
    <t>2021-07</t>
  </si>
  <si>
    <t>北澤 由貴(Yoshitaka Kitazawa)_PF-Point</t>
  </si>
  <si>
    <t>楽しさもあるが、ポイントやRabbitと並行でやる辛さもある</t>
  </si>
  <si>
    <t>最初に導入する事業が決まっていないので、会社への影響度合いがわからない</t>
  </si>
  <si>
    <t>設計/開発/チームビルディングなど今後も活かせる力がつけられると思う</t>
  </si>
  <si>
    <t>落胆させたくない思いはあるが、そこは重要ではない</t>
  </si>
  <si>
    <t>なんとかなるだろう精神</t>
  </si>
  <si>
    <t>小西 一平(Konishi Ippei)_PF</t>
  </si>
  <si>
    <t>岡本 忠浩(Tadahiro Okamoto, okp)_PF</t>
  </si>
  <si>
    <t>谷内 春氏(yachi-shunji)_Com_PF-Point</t>
  </si>
  <si>
    <t>Felius Frank_sys-pf</t>
  </si>
  <si>
    <t>プラットフォーム部、決済、Rabbit、事業へ大きい影響を与えることで、DMM会員にプラスになると思います。</t>
  </si>
  <si>
    <t>大村 真琴(Omura Makoto)_CTO室/VPoE室</t>
  </si>
  <si>
    <t>NapoleonTeamで、まだ私がチーム感を感じられていないか職能的に一人だけのアサインなのでペアデザもなく孤独感があるからかも知れません。特に何も感じないので真ん中の数字を添えてます。</t>
  </si>
  <si>
    <t>数値的なインパクトはMVPでは分からないですが、今後のDMM全体の決済の基礎になると思うので確実に大きな影響を与えてくれることに期待してます。</t>
  </si>
  <si>
    <t>以前はDMMの一つのアプリにとどまっていてDMMのドメイン知識が浅いままでしたが、今回のNapoleonTeamではそこが補われていって段々改善の勘所も掴めてくるのかなーって思ってます。</t>
  </si>
  <si>
    <t>まだ今回のProjectNapoleonでは、その視座が養われていないかもです。良くも悪くもあまり周囲のことを気にかけていないかも知れません。努力しますmm</t>
  </si>
  <si>
    <t>リソース支援の立場なので不明とします。</t>
  </si>
  <si>
    <t>リソース支援の立場なので特になしにします。</t>
  </si>
  <si>
    <t>村岡 功(muraoka-ko)_pf-pointclub</t>
  </si>
  <si>
    <t>佐藤 直樹(Sato Naoki)_PF-Point</t>
  </si>
  <si>
    <t>途中参加ではありますが、PO業務を経験できるのは楽しいです。</t>
  </si>
  <si>
    <t>これまでボトルネックとなっていた決済システムの導入コスト削減につながると思います。</t>
  </si>
  <si>
    <t>将来マネジメント領域でのキャリアを考えているので良い経験になっていると思います。</t>
  </si>
  <si>
    <t>ステークホルダーの期待の高さを感じることはあります。失敗できないというプレッシャーも大きいです。</t>
  </si>
  <si>
    <t>経済的な圧力は感じていないです。</t>
  </si>
  <si>
    <t>惰性は全くないです。</t>
  </si>
  <si>
    <t>2021-08</t>
  </si>
  <si>
    <t>柏熊 宏幸(Kashiwaguma Hiroyuki)_PF-Point</t>
  </si>
  <si>
    <t>楽しくなってきた</t>
  </si>
  <si>
    <t>導入事業が居ないのは残念だが、すぐ導入できる決済サービスを提供できる未来像があるので</t>
  </si>
  <si>
    <t>やらないと（使命感</t>
  </si>
  <si>
    <t>動くものができてきたらもっとモチベUPする</t>
  </si>
  <si>
    <t>色々な専門をもつ人と相談して、決定が多くできて、楽しいです。</t>
  </si>
  <si>
    <t>ペイメントサービス部の未来を作っていると思います。</t>
  </si>
  <si>
    <t>テックリダー、マネジメントの経験を多くできています。</t>
  </si>
  <si>
    <t>自分自身NapoleonPayをやりたいので、感情的圧力で動くことはないです。ただし、優先度、やり方、スケジュールの調整に関して、感情的圧力を感じなくもないです。</t>
  </si>
  <si>
    <t>NapoleonTeamの仕事ができても、金銭的な目標・生活の維持と関係あるかわからないです。良くもないですが、-7にしたいです。</t>
  </si>
  <si>
    <t>野望あります。</t>
  </si>
  <si>
    <t>202108</t>
  </si>
  <si>
    <t>最近少しだけ楽しく感じてきました。</t>
  </si>
  <si>
    <t>2021-09</t>
  </si>
  <si>
    <t>202109</t>
  </si>
  <si>
    <t>DMM PayによってDMMにはインパクトを与えることはできるが、世の中的にはすでに同じようなイケてるプロダクト(Pay ID)があるので、外を見ると微妙な気持ちになる。</t>
  </si>
  <si>
    <t>前回から変わらず</t>
  </si>
  <si>
    <t>DMMの次期購入システムになる可能性もあり影響は大きいと感じています</t>
  </si>
  <si>
    <t>惰性に感じることはないです</t>
  </si>
  <si>
    <t>ToMo指数</t>
  </si>
  <si>
    <t>Q1-Average</t>
  </si>
  <si>
    <t>Q2-Average</t>
  </si>
  <si>
    <t>Q3-Average</t>
  </si>
  <si>
    <t>Q4-Average</t>
  </si>
  <si>
    <t>Q5-Average</t>
  </si>
  <si>
    <t>Q6-Average</t>
  </si>
  <si>
    <t>Q1-Median</t>
  </si>
  <si>
    <t>Q2-Median</t>
  </si>
  <si>
    <t>Q3-Median</t>
  </si>
  <si>
    <t>Q4-Median</t>
  </si>
  <si>
    <t>Q5-Median</t>
  </si>
  <si>
    <t>Q6-Median</t>
  </si>
  <si>
    <t>Sum</t>
  </si>
  <si>
    <t>Average</t>
  </si>
  <si>
    <t>Count</t>
  </si>
  <si>
    <t>ToMo指数（Average）</t>
  </si>
  <si>
    <t>ToMo指数（Median）</t>
  </si>
  <si>
    <t>2021-10</t>
  </si>
  <si>
    <t>2021-11</t>
  </si>
  <si>
    <t>2021-12</t>
  </si>
  <si>
    <t>2022-01</t>
  </si>
  <si>
    <t>2022-02</t>
  </si>
  <si>
    <t>2022-03</t>
  </si>
  <si>
    <t>2022-04</t>
  </si>
  <si>
    <t>2022-05</t>
  </si>
  <si>
    <t>2022-06</t>
  </si>
  <si>
    <t>以下のグラフは「1 : 悪い ~ 7 : 良い」になっています。</t>
  </si>
  <si>
    <t>設問１（楽しさ）→ 1 : 楽しくない ~ 7 : 楽しい</t>
  </si>
  <si>
    <t>設問２（目的）→ 1 : 目的を持っていない ~ 7 : 目的を持っている</t>
  </si>
  <si>
    <t>設問３（可能性）→ 1 : 可能性は大事ではない ~ 7 : 可能性は大事である</t>
  </si>
  <si>
    <t>設問４（感情的圧力）→ 1 : 感情的圧力が強い ~ 7: 感情的圧力が弱い</t>
  </si>
  <si>
    <t>設問５（経済的圧力）→ 1 : 経済的圧力が強い ~ 7 : 経済的圧力が弱い</t>
  </si>
  <si>
    <t>設問６（惰性）→ 1 : 惰性で仕事をしている ~ 7 : 惰性で仕事をしていない</t>
  </si>
  <si>
    <t>設問１（楽しさ）：NapoleonTeamの仕事をしているのは、仕事そのものが楽しいからだ（ 1 全く当てはまらない ~ 7 とても当てはまる）</t>
  </si>
  <si>
    <t>設問２（目的）：NapoleonTeamの仕事をしているのは、仕事によって直接生み出される成果、世の中への影響が大切だからだ（ 1 全く当てはまらない ~ 7 とても当てはまる）</t>
  </si>
  <si>
    <t>設問３（可能性）：NapoleonTeamの仕事をしているのは、将来の自分の事につながる能力が磨かれるなど、二次的な成果が大切だからだ（ 1 全く当てはまらない ~ 7 とても当てはまる）</t>
  </si>
  <si>
    <t>設問４（感情的圧力）：NapoleonTeamの仕事をしているのは、ステークホルダー、同僚、上司、その他、自分を気にかけてくれる人を落胆させないためだ（ 1 全く当てはまらない ~ 7 とても当てはまる）</t>
  </si>
  <si>
    <t>設問５（経済的圧力）：NapoleonTeamの仕事をしているのは、この仕事を失うと、金銭的な目標・生活の維持ができないからだ（ 1 全く当てはまらない ~ 7 とても当てはまる）</t>
  </si>
  <si>
    <t>設問６（惰性）：NapoleonTeamの仕事をしているのは、特にこの仕事をしている理由もなく、惰性で続けているからだ（ 1 全く当てはまらない ~ 7 とても当てはまる）</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</si>
</sst>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color theme="1"/>
      <name val="Arial"/>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49" xfId="0" applyAlignment="1" applyFill="1" applyFont="1" applyNumberFormat="1">
      <alignment readingOrder="0"/>
    </xf>
    <xf borderId="0" fillId="2" fontId="1" numFmtId="0" xfId="0" applyAlignment="1" applyFont="1">
      <alignment readingOrder="0"/>
    </xf>
    <xf borderId="0" fillId="2" fontId="1" numFmtId="0" xfId="0" applyFont="1"/>
    <xf borderId="0" fillId="0" fontId="1" numFmtId="49"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49" xfId="0" applyFont="1" applyNumberForma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1年間のToMo指数 平均値/中央値推移</a:t>
            </a:r>
          </a:p>
        </c:rich>
      </c:tx>
      <c:layout>
        <c:manualLayout>
          <c:xMode val="edge"/>
          <c:yMode val="edge"/>
          <c:x val="0.03091666666666667"/>
          <c:y val="0.04730458221024259"/>
        </c:manualLayout>
      </c:layout>
      <c:overlay val="0"/>
    </c:title>
    <c:plotArea>
      <c:layout/>
      <c:barChart>
        <c:barDir val="col"/>
        <c:grouping val="stacked"/>
        <c:ser>
          <c:idx val="0"/>
          <c:order val="0"/>
          <c:tx>
            <c:strRef>
              <c:f>aggregate!$Q$1</c:f>
            </c:strRef>
          </c:tx>
          <c:spPr>
            <a:solidFill>
              <a:schemeClr val="accent1"/>
            </a:solidFill>
            <a:ln cmpd="sng">
              <a:solidFill>
                <a:srgbClr val="000000"/>
              </a:solidFill>
            </a:ln>
          </c:spPr>
          <c:cat>
            <c:strRef>
              <c:f>aggregate!$A$2:$A$13</c:f>
            </c:strRef>
          </c:cat>
          <c:val>
            <c:numRef>
              <c:f>aggregate!$Q$2:$Q$13</c:f>
              <c:numCache/>
            </c:numRef>
          </c:val>
        </c:ser>
        <c:overlap val="100"/>
        <c:axId val="1052826591"/>
        <c:axId val="1932126771"/>
      </c:barChart>
      <c:lineChart>
        <c:varyColors val="0"/>
        <c:ser>
          <c:idx val="1"/>
          <c:order val="1"/>
          <c:tx>
            <c:strRef>
              <c:f>aggregate!$R$1</c:f>
            </c:strRef>
          </c:tx>
          <c:spPr>
            <a:ln cmpd="sng">
              <a:solidFill>
                <a:srgbClr val="EA4335"/>
              </a:solidFill>
            </a:ln>
          </c:spPr>
          <c:marker>
            <c:symbol val="circle"/>
            <c:size val="7"/>
            <c:spPr>
              <a:solidFill>
                <a:srgbClr val="EA4335"/>
              </a:solidFill>
              <a:ln cmpd="sng">
                <a:solidFill>
                  <a:srgbClr val="EA4335"/>
                </a:solidFill>
              </a:ln>
            </c:spPr>
          </c:marker>
          <c:cat>
            <c:strRef>
              <c:f>aggregate!$A$2:$A$13</c:f>
            </c:strRef>
          </c:cat>
          <c:val>
            <c:numRef>
              <c:f>aggregate!$R$2:$R$13</c:f>
              <c:numCache/>
            </c:numRef>
          </c:val>
          <c:smooth val="0"/>
        </c:ser>
        <c:axId val="1052826591"/>
        <c:axId val="1932126771"/>
      </c:lineChart>
      <c:catAx>
        <c:axId val="10528265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2126771"/>
      </c:catAx>
      <c:valAx>
        <c:axId val="19321267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28265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1年間ToMo指数平均値推移（設問1）</a:t>
            </a:r>
          </a:p>
        </c:rich>
      </c:tx>
      <c:overlay val="0"/>
    </c:title>
    <c:plotArea>
      <c:layout/>
      <c:barChart>
        <c:barDir val="col"/>
        <c:grouping val="stacked"/>
        <c:ser>
          <c:idx val="0"/>
          <c:order val="0"/>
          <c:tx>
            <c:strRef>
              <c:f>aggregate!$B$1</c:f>
            </c:strRef>
          </c:tx>
          <c:spPr>
            <a:solidFill>
              <a:schemeClr val="accent1"/>
            </a:solidFill>
            <a:ln cmpd="sng">
              <a:solidFill>
                <a:srgbClr val="000000"/>
              </a:solidFill>
            </a:ln>
          </c:spPr>
          <c:cat>
            <c:strRef>
              <c:f>aggregate!$A$2:$A$13</c:f>
            </c:strRef>
          </c:cat>
          <c:val>
            <c:numRef>
              <c:f>aggregate!$B$2:$B$13</c:f>
              <c:numCache/>
            </c:numRef>
          </c:val>
        </c:ser>
        <c:overlap val="100"/>
        <c:axId val="524379440"/>
        <c:axId val="1171893843"/>
      </c:barChart>
      <c:lineChart>
        <c:varyColors val="0"/>
        <c:ser>
          <c:idx val="1"/>
          <c:order val="1"/>
          <c:tx>
            <c:strRef>
              <c:f>aggregate!$H$1</c:f>
            </c:strRef>
          </c:tx>
          <c:spPr>
            <a:ln cmpd="sng" w="38100">
              <a:solidFill>
                <a:srgbClr val="EA4335"/>
              </a:solidFill>
            </a:ln>
          </c:spPr>
          <c:marker>
            <c:symbol val="none"/>
          </c:marker>
          <c:cat>
            <c:strRef>
              <c:f>aggregate!$A$2:$A$13</c:f>
            </c:strRef>
          </c:cat>
          <c:val>
            <c:numRef>
              <c:f>aggregate!$H$2:$H$13</c:f>
              <c:numCache/>
            </c:numRef>
          </c:val>
          <c:smooth val="0"/>
        </c:ser>
        <c:axId val="524379440"/>
        <c:axId val="1171893843"/>
      </c:lineChart>
      <c:catAx>
        <c:axId val="5243794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71893843"/>
      </c:catAx>
      <c:valAx>
        <c:axId val="1171893843"/>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437944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1年間のToMo指数平均値推移（設問2）</a:t>
            </a:r>
          </a:p>
        </c:rich>
      </c:tx>
      <c:overlay val="0"/>
    </c:title>
    <c:plotArea>
      <c:layout/>
      <c:barChart>
        <c:barDir val="col"/>
        <c:grouping val="stacked"/>
        <c:ser>
          <c:idx val="0"/>
          <c:order val="0"/>
          <c:tx>
            <c:strRef>
              <c:f>aggregate!$C$1</c:f>
            </c:strRef>
          </c:tx>
          <c:spPr>
            <a:solidFill>
              <a:schemeClr val="accent2"/>
            </a:solidFill>
            <a:ln cmpd="sng">
              <a:solidFill>
                <a:srgbClr val="000000"/>
              </a:solidFill>
            </a:ln>
          </c:spPr>
          <c:cat>
            <c:strRef>
              <c:f>aggregate!$A$2:$A$13</c:f>
            </c:strRef>
          </c:cat>
          <c:val>
            <c:numRef>
              <c:f>aggregate!$C$2:$C$13</c:f>
              <c:numCache/>
            </c:numRef>
          </c:val>
        </c:ser>
        <c:overlap val="100"/>
        <c:axId val="1250130020"/>
        <c:axId val="1141830810"/>
      </c:barChart>
      <c:lineChart>
        <c:varyColors val="0"/>
        <c:ser>
          <c:idx val="1"/>
          <c:order val="1"/>
          <c:tx>
            <c:strRef>
              <c:f>aggregate!$I$1</c:f>
            </c:strRef>
          </c:tx>
          <c:spPr>
            <a:ln cmpd="sng" w="38100">
              <a:solidFill>
                <a:srgbClr val="1155CC">
                  <a:alpha val="100000"/>
                </a:srgbClr>
              </a:solidFill>
            </a:ln>
          </c:spPr>
          <c:marker>
            <c:symbol val="none"/>
          </c:marker>
          <c:cat>
            <c:strRef>
              <c:f>aggregate!$A$2:$A$13</c:f>
            </c:strRef>
          </c:cat>
          <c:val>
            <c:numRef>
              <c:f>aggregate!$I$2:$I$13</c:f>
              <c:numCache/>
            </c:numRef>
          </c:val>
          <c:smooth val="0"/>
        </c:ser>
        <c:axId val="1250130020"/>
        <c:axId val="1141830810"/>
      </c:lineChart>
      <c:catAx>
        <c:axId val="12501300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41830810"/>
      </c:catAx>
      <c:valAx>
        <c:axId val="1141830810"/>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013002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1年間のToMo指数平均値推移（設問3）</a:t>
            </a:r>
          </a:p>
        </c:rich>
      </c:tx>
      <c:overlay val="0"/>
    </c:title>
    <c:plotArea>
      <c:layout/>
      <c:barChart>
        <c:barDir val="col"/>
        <c:grouping val="stacked"/>
        <c:ser>
          <c:idx val="0"/>
          <c:order val="0"/>
          <c:tx>
            <c:strRef>
              <c:f>aggregate!$D$1</c:f>
            </c:strRef>
          </c:tx>
          <c:spPr>
            <a:solidFill>
              <a:schemeClr val="accent3"/>
            </a:solidFill>
            <a:ln cmpd="sng">
              <a:solidFill>
                <a:srgbClr val="000000"/>
              </a:solidFill>
            </a:ln>
          </c:spPr>
          <c:cat>
            <c:strRef>
              <c:f>aggregate!$A$2:$A$13</c:f>
            </c:strRef>
          </c:cat>
          <c:val>
            <c:numRef>
              <c:f>aggregate!$D$2:$D$13</c:f>
              <c:numCache/>
            </c:numRef>
          </c:val>
        </c:ser>
        <c:overlap val="100"/>
        <c:axId val="2055710735"/>
        <c:axId val="1281348208"/>
      </c:barChart>
      <c:lineChart>
        <c:varyColors val="0"/>
        <c:ser>
          <c:idx val="1"/>
          <c:order val="1"/>
          <c:tx>
            <c:strRef>
              <c:f>aggregate!$J$1</c:f>
            </c:strRef>
          </c:tx>
          <c:spPr>
            <a:ln cmpd="sng" w="38100">
              <a:solidFill>
                <a:srgbClr val="EA4335"/>
              </a:solidFill>
            </a:ln>
          </c:spPr>
          <c:marker>
            <c:symbol val="none"/>
          </c:marker>
          <c:cat>
            <c:strRef>
              <c:f>aggregate!$A$2:$A$13</c:f>
            </c:strRef>
          </c:cat>
          <c:val>
            <c:numRef>
              <c:f>aggregate!$J$2:$J$13</c:f>
              <c:numCache/>
            </c:numRef>
          </c:val>
          <c:smooth val="0"/>
        </c:ser>
        <c:axId val="2055710735"/>
        <c:axId val="1281348208"/>
      </c:lineChart>
      <c:catAx>
        <c:axId val="20557107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81348208"/>
      </c:catAx>
      <c:valAx>
        <c:axId val="1281348208"/>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571073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1年間のToMo指数平均値推移（設問4）</a:t>
            </a:r>
          </a:p>
        </c:rich>
      </c:tx>
      <c:overlay val="0"/>
    </c:title>
    <c:plotArea>
      <c:layout/>
      <c:barChart>
        <c:barDir val="col"/>
        <c:grouping val="stacked"/>
        <c:ser>
          <c:idx val="0"/>
          <c:order val="0"/>
          <c:tx>
            <c:strRef>
              <c:f>aggregate!$E$1</c:f>
            </c:strRef>
          </c:tx>
          <c:spPr>
            <a:solidFill>
              <a:schemeClr val="accent4"/>
            </a:solidFill>
            <a:ln cmpd="sng">
              <a:solidFill>
                <a:srgbClr val="000000"/>
              </a:solidFill>
            </a:ln>
          </c:spPr>
          <c:cat>
            <c:strRef>
              <c:f>aggregate!$A$2:$A$13</c:f>
            </c:strRef>
          </c:cat>
          <c:val>
            <c:numRef>
              <c:f>aggregate!$E$2:$E$13</c:f>
              <c:numCache/>
            </c:numRef>
          </c:val>
        </c:ser>
        <c:overlap val="100"/>
        <c:axId val="1845956248"/>
        <c:axId val="18938731"/>
      </c:barChart>
      <c:lineChart>
        <c:varyColors val="0"/>
        <c:ser>
          <c:idx val="1"/>
          <c:order val="1"/>
          <c:tx>
            <c:strRef>
              <c:f>aggregate!$K$1</c:f>
            </c:strRef>
          </c:tx>
          <c:spPr>
            <a:ln cmpd="sng" w="38100">
              <a:solidFill>
                <a:srgbClr val="EA4335"/>
              </a:solidFill>
            </a:ln>
          </c:spPr>
          <c:marker>
            <c:symbol val="none"/>
          </c:marker>
          <c:cat>
            <c:strRef>
              <c:f>aggregate!$A$2:$A$13</c:f>
            </c:strRef>
          </c:cat>
          <c:val>
            <c:numRef>
              <c:f>aggregate!$K$2:$K$13</c:f>
              <c:numCache/>
            </c:numRef>
          </c:val>
          <c:smooth val="0"/>
        </c:ser>
        <c:axId val="1845956248"/>
        <c:axId val="18938731"/>
      </c:lineChart>
      <c:catAx>
        <c:axId val="18459562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938731"/>
      </c:catAx>
      <c:valAx>
        <c:axId val="18938731"/>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595624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1年間のToMo指数平均値推移（設問5）</a:t>
            </a:r>
          </a:p>
        </c:rich>
      </c:tx>
      <c:overlay val="0"/>
    </c:title>
    <c:plotArea>
      <c:layout/>
      <c:barChart>
        <c:barDir val="col"/>
        <c:grouping val="stacked"/>
        <c:ser>
          <c:idx val="0"/>
          <c:order val="0"/>
          <c:tx>
            <c:strRef>
              <c:f>aggregate!$F$1</c:f>
            </c:strRef>
          </c:tx>
          <c:spPr>
            <a:solidFill>
              <a:schemeClr val="accent5"/>
            </a:solidFill>
            <a:ln cmpd="sng">
              <a:solidFill>
                <a:srgbClr val="000000"/>
              </a:solidFill>
            </a:ln>
          </c:spPr>
          <c:cat>
            <c:strRef>
              <c:f>aggregate!$A$2:$A$13</c:f>
            </c:strRef>
          </c:cat>
          <c:val>
            <c:numRef>
              <c:f>aggregate!$F$2:$F$13</c:f>
              <c:numCache/>
            </c:numRef>
          </c:val>
        </c:ser>
        <c:overlap val="100"/>
        <c:axId val="847315127"/>
        <c:axId val="689438685"/>
      </c:barChart>
      <c:lineChart>
        <c:varyColors val="0"/>
        <c:ser>
          <c:idx val="1"/>
          <c:order val="1"/>
          <c:tx>
            <c:strRef>
              <c:f>aggregate!$L$1</c:f>
            </c:strRef>
          </c:tx>
          <c:spPr>
            <a:ln cmpd="sng" w="38100">
              <a:solidFill>
                <a:srgbClr val="3C78D8">
                  <a:alpha val="100000"/>
                </a:srgbClr>
              </a:solidFill>
            </a:ln>
          </c:spPr>
          <c:marker>
            <c:symbol val="none"/>
          </c:marker>
          <c:cat>
            <c:strRef>
              <c:f>aggregate!$A$2:$A$13</c:f>
            </c:strRef>
          </c:cat>
          <c:val>
            <c:numRef>
              <c:f>aggregate!$L$2:$L$13</c:f>
              <c:numCache/>
            </c:numRef>
          </c:val>
          <c:smooth val="0"/>
        </c:ser>
        <c:axId val="847315127"/>
        <c:axId val="689438685"/>
      </c:lineChart>
      <c:catAx>
        <c:axId val="8473151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9438685"/>
      </c:catAx>
      <c:valAx>
        <c:axId val="689438685"/>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731512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1年間のToMo指数平均値推移（設問6）</a:t>
            </a:r>
          </a:p>
        </c:rich>
      </c:tx>
      <c:overlay val="0"/>
    </c:title>
    <c:plotArea>
      <c:layout/>
      <c:barChart>
        <c:barDir val="col"/>
        <c:grouping val="stacked"/>
        <c:ser>
          <c:idx val="0"/>
          <c:order val="0"/>
          <c:tx>
            <c:strRef>
              <c:f>aggregate!$G$1</c:f>
            </c:strRef>
          </c:tx>
          <c:spPr>
            <a:solidFill>
              <a:schemeClr val="accent6"/>
            </a:solidFill>
            <a:ln cmpd="sng">
              <a:solidFill>
                <a:srgbClr val="000000"/>
              </a:solidFill>
            </a:ln>
          </c:spPr>
          <c:cat>
            <c:strRef>
              <c:f>aggregate!$A$2:$A$13</c:f>
            </c:strRef>
          </c:cat>
          <c:val>
            <c:numRef>
              <c:f>aggregate!$G$2:$G$13</c:f>
              <c:numCache/>
            </c:numRef>
          </c:val>
        </c:ser>
        <c:overlap val="100"/>
        <c:axId val="1113490614"/>
        <c:axId val="1879003630"/>
      </c:barChart>
      <c:lineChart>
        <c:varyColors val="0"/>
        <c:ser>
          <c:idx val="1"/>
          <c:order val="1"/>
          <c:tx>
            <c:strRef>
              <c:f>aggregate!$M$1</c:f>
            </c:strRef>
          </c:tx>
          <c:spPr>
            <a:ln cmpd="sng" w="38100">
              <a:solidFill>
                <a:srgbClr val="EA4335"/>
              </a:solidFill>
            </a:ln>
          </c:spPr>
          <c:marker>
            <c:symbol val="none"/>
          </c:marker>
          <c:cat>
            <c:strRef>
              <c:f>aggregate!$A$2:$A$13</c:f>
            </c:strRef>
          </c:cat>
          <c:val>
            <c:numRef>
              <c:f>aggregate!$M$2:$M$13</c:f>
              <c:numCache/>
            </c:numRef>
          </c:val>
          <c:smooth val="0"/>
        </c:ser>
        <c:axId val="1113490614"/>
        <c:axId val="1879003630"/>
      </c:lineChart>
      <c:catAx>
        <c:axId val="1113490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79003630"/>
      </c:catAx>
      <c:valAx>
        <c:axId val="1879003630"/>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349061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1年間のToMo指数 回答者数推移</a:t>
            </a:r>
          </a:p>
        </c:rich>
      </c:tx>
      <c:overlay val="0"/>
    </c:title>
    <c:plotArea>
      <c:layout/>
      <c:barChart>
        <c:barDir val="col"/>
        <c:grouping val="stacked"/>
        <c:ser>
          <c:idx val="0"/>
          <c:order val="0"/>
          <c:tx>
            <c:strRef>
              <c:f>aggregate!$P$1</c:f>
            </c:strRef>
          </c:tx>
          <c:spPr>
            <a:solidFill>
              <a:srgbClr val="F1C232"/>
            </a:solidFill>
            <a:ln cmpd="sng">
              <a:solidFill>
                <a:srgbClr val="000000"/>
              </a:solidFill>
            </a:ln>
          </c:spPr>
          <c:cat>
            <c:strRef>
              <c:f>aggregate!$A$2:$A$13</c:f>
            </c:strRef>
          </c:cat>
          <c:val>
            <c:numRef>
              <c:f>aggregate!$P$2:$P$13</c:f>
              <c:numCache/>
            </c:numRef>
          </c:val>
        </c:ser>
        <c:overlap val="100"/>
        <c:axId val="150406870"/>
        <c:axId val="1313822049"/>
      </c:barChart>
      <c:catAx>
        <c:axId val="150406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13822049"/>
      </c:catAx>
      <c:valAx>
        <c:axId val="13138220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406870"/>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3</xdr:row>
      <xdr:rowOff>38100</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25</xdr:row>
      <xdr:rowOff>38100</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152400</xdr:colOff>
      <xdr:row>25</xdr:row>
      <xdr:rowOff>38100</xdr:rowOff>
    </xdr:from>
    <xdr:ext cx="5715000" cy="3533775"/>
    <xdr:graphicFrame>
      <xdr:nvGraphicFramePr>
        <xdr:cNvPr id="3" name="Chart 3" title="グラフ"/>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381000</xdr:colOff>
      <xdr:row>25</xdr:row>
      <xdr:rowOff>38100</xdr:rowOff>
    </xdr:from>
    <xdr:ext cx="5715000" cy="3533775"/>
    <xdr:graphicFrame>
      <xdr:nvGraphicFramePr>
        <xdr:cNvPr id="4" name="Chart 4" title="グラフ"/>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18</xdr:col>
      <xdr:colOff>523875</xdr:colOff>
      <xdr:row>25</xdr:row>
      <xdr:rowOff>38100</xdr:rowOff>
    </xdr:from>
    <xdr:ext cx="5715000" cy="3533775"/>
    <xdr:graphicFrame>
      <xdr:nvGraphicFramePr>
        <xdr:cNvPr id="5" name="Chart 5" title="グラフ"/>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24</xdr:col>
      <xdr:colOff>752475</xdr:colOff>
      <xdr:row>25</xdr:row>
      <xdr:rowOff>38100</xdr:rowOff>
    </xdr:from>
    <xdr:ext cx="5715000" cy="3533775"/>
    <xdr:graphicFrame>
      <xdr:nvGraphicFramePr>
        <xdr:cNvPr id="6" name="Chart 6" title="グラフ"/>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30</xdr:col>
      <xdr:colOff>847725</xdr:colOff>
      <xdr:row>25</xdr:row>
      <xdr:rowOff>38100</xdr:rowOff>
    </xdr:from>
    <xdr:ext cx="5715000" cy="3533775"/>
    <xdr:graphicFrame>
      <xdr:nvGraphicFramePr>
        <xdr:cNvPr id="7" name="Chart 7" title="グラフ"/>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238125</xdr:colOff>
      <xdr:row>3</xdr:row>
      <xdr:rowOff>38100</xdr:rowOff>
    </xdr:from>
    <xdr:ext cx="5715000" cy="3533775"/>
    <xdr:graphicFrame>
      <xdr:nvGraphicFramePr>
        <xdr:cNvPr id="8" name="Chart 8" title="グラフ"/>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9" max="14" width="30.29"/>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row>
    <row r="2">
      <c r="A2" s="4" t="s">
        <v>14</v>
      </c>
      <c r="B2" s="5" t="s">
        <v>15</v>
      </c>
      <c r="C2" s="5">
        <v>5.0</v>
      </c>
      <c r="D2" s="5">
        <v>4.0</v>
      </c>
      <c r="E2" s="5">
        <v>7.0</v>
      </c>
      <c r="F2" s="5">
        <v>5.0</v>
      </c>
      <c r="G2" s="5">
        <v>2.0</v>
      </c>
      <c r="H2" s="5">
        <v>1.0</v>
      </c>
      <c r="I2" s="6" t="s">
        <v>16</v>
      </c>
      <c r="J2" s="6" t="s">
        <v>17</v>
      </c>
      <c r="K2" s="6" t="s">
        <v>18</v>
      </c>
      <c r="L2" s="6" t="s">
        <v>19</v>
      </c>
      <c r="M2" s="6" t="s">
        <v>20</v>
      </c>
      <c r="N2" s="6"/>
    </row>
    <row r="3">
      <c r="A3" s="4" t="s">
        <v>14</v>
      </c>
      <c r="B3" s="5" t="s">
        <v>21</v>
      </c>
      <c r="C3" s="5">
        <v>5.0</v>
      </c>
      <c r="D3" s="5">
        <v>6.0</v>
      </c>
      <c r="E3" s="5">
        <v>4.0</v>
      </c>
      <c r="F3" s="5">
        <v>6.0</v>
      </c>
      <c r="G3" s="5">
        <v>1.0</v>
      </c>
      <c r="H3" s="5">
        <v>1.0</v>
      </c>
      <c r="I3" s="6"/>
      <c r="J3" s="6"/>
      <c r="K3" s="6"/>
      <c r="L3" s="6"/>
      <c r="M3" s="6"/>
      <c r="N3" s="6"/>
    </row>
    <row r="4">
      <c r="A4" s="4" t="s">
        <v>14</v>
      </c>
      <c r="B4" s="5" t="s">
        <v>22</v>
      </c>
      <c r="C4" s="5">
        <v>5.0</v>
      </c>
      <c r="D4" s="5">
        <v>5.0</v>
      </c>
      <c r="E4" s="5">
        <v>5.0</v>
      </c>
      <c r="F4" s="5">
        <v>5.0</v>
      </c>
      <c r="G4" s="5">
        <v>1.0</v>
      </c>
      <c r="H4" s="5">
        <v>1.0</v>
      </c>
      <c r="I4" s="7"/>
      <c r="J4" s="6"/>
      <c r="K4" s="7"/>
      <c r="L4" s="7"/>
      <c r="M4" s="7"/>
      <c r="N4" s="7"/>
    </row>
    <row r="5">
      <c r="A5" s="4" t="s">
        <v>14</v>
      </c>
      <c r="B5" s="5" t="s">
        <v>23</v>
      </c>
      <c r="C5" s="5">
        <v>3.0</v>
      </c>
      <c r="D5" s="5">
        <v>2.0</v>
      </c>
      <c r="E5" s="5">
        <v>4.0</v>
      </c>
      <c r="F5" s="5">
        <v>5.0</v>
      </c>
      <c r="G5" s="5">
        <v>2.0</v>
      </c>
      <c r="H5" s="5">
        <v>1.0</v>
      </c>
      <c r="I5" s="7"/>
      <c r="J5" s="7"/>
      <c r="K5" s="7"/>
      <c r="L5" s="7"/>
      <c r="M5" s="7"/>
      <c r="N5" s="7"/>
    </row>
    <row r="6">
      <c r="A6" s="4" t="s">
        <v>14</v>
      </c>
      <c r="B6" s="5" t="s">
        <v>24</v>
      </c>
      <c r="C6" s="5">
        <v>5.0</v>
      </c>
      <c r="D6" s="5">
        <v>7.0</v>
      </c>
      <c r="E6" s="5">
        <v>6.0</v>
      </c>
      <c r="F6" s="5">
        <v>5.0</v>
      </c>
      <c r="G6" s="5">
        <v>1.0</v>
      </c>
      <c r="H6" s="5">
        <v>1.0</v>
      </c>
      <c r="I6" s="6"/>
      <c r="J6" s="6" t="s">
        <v>25</v>
      </c>
      <c r="K6" s="6"/>
      <c r="L6" s="6"/>
      <c r="M6" s="6"/>
      <c r="N6" s="6"/>
    </row>
    <row r="7">
      <c r="A7" s="4" t="s">
        <v>14</v>
      </c>
      <c r="B7" s="5" t="s">
        <v>26</v>
      </c>
      <c r="C7" s="5">
        <v>4.0</v>
      </c>
      <c r="D7" s="5">
        <v>5.0</v>
      </c>
      <c r="E7" s="5">
        <v>6.0</v>
      </c>
      <c r="F7" s="5">
        <v>1.0</v>
      </c>
      <c r="G7" s="5">
        <v>4.0</v>
      </c>
      <c r="H7" s="5">
        <v>4.0</v>
      </c>
      <c r="I7" s="6" t="s">
        <v>27</v>
      </c>
      <c r="J7" s="6" t="s">
        <v>28</v>
      </c>
      <c r="K7" s="6" t="s">
        <v>29</v>
      </c>
      <c r="L7" s="6" t="s">
        <v>30</v>
      </c>
      <c r="M7" s="6" t="s">
        <v>31</v>
      </c>
      <c r="N7" s="6" t="s">
        <v>32</v>
      </c>
    </row>
    <row r="8">
      <c r="A8" s="4" t="s">
        <v>14</v>
      </c>
      <c r="B8" s="5" t="s">
        <v>33</v>
      </c>
      <c r="C8" s="5">
        <v>6.0</v>
      </c>
      <c r="D8" s="5">
        <v>6.0</v>
      </c>
      <c r="E8" s="5">
        <v>6.0</v>
      </c>
      <c r="F8" s="5">
        <v>3.0</v>
      </c>
      <c r="G8" s="5">
        <v>1.0</v>
      </c>
      <c r="H8" s="5">
        <v>1.0</v>
      </c>
      <c r="I8" s="6"/>
      <c r="J8" s="6"/>
      <c r="K8" s="6"/>
      <c r="L8" s="6"/>
      <c r="M8" s="6"/>
      <c r="N8" s="6"/>
    </row>
    <row r="9">
      <c r="A9" s="4" t="s">
        <v>14</v>
      </c>
      <c r="B9" s="5" t="s">
        <v>34</v>
      </c>
      <c r="C9" s="5">
        <v>6.0</v>
      </c>
      <c r="D9" s="5">
        <v>7.0</v>
      </c>
      <c r="E9" s="5">
        <v>7.0</v>
      </c>
      <c r="F9" s="5">
        <v>4.0</v>
      </c>
      <c r="G9" s="5">
        <v>1.0</v>
      </c>
      <c r="H9" s="5">
        <v>1.0</v>
      </c>
      <c r="I9" s="6" t="s">
        <v>35</v>
      </c>
      <c r="J9" s="6" t="s">
        <v>36</v>
      </c>
      <c r="K9" s="6" t="s">
        <v>37</v>
      </c>
      <c r="L9" s="6" t="s">
        <v>38</v>
      </c>
      <c r="M9" s="6" t="s">
        <v>39</v>
      </c>
      <c r="N9" s="6" t="s">
        <v>40</v>
      </c>
    </row>
    <row r="10">
      <c r="A10" s="4" t="s">
        <v>41</v>
      </c>
      <c r="B10" s="5" t="s">
        <v>33</v>
      </c>
      <c r="C10" s="5">
        <v>5.0</v>
      </c>
      <c r="D10" s="5">
        <v>5.0</v>
      </c>
      <c r="E10" s="5">
        <v>6.0</v>
      </c>
      <c r="F10" s="5">
        <v>4.0</v>
      </c>
      <c r="G10" s="5">
        <v>3.0</v>
      </c>
      <c r="H10" s="5">
        <v>1.0</v>
      </c>
      <c r="I10" s="6"/>
      <c r="J10" s="6"/>
      <c r="K10" s="7"/>
      <c r="L10" s="6"/>
      <c r="M10" s="7"/>
      <c r="N10" s="7"/>
    </row>
    <row r="11">
      <c r="A11" s="4" t="s">
        <v>41</v>
      </c>
      <c r="B11" s="5" t="s">
        <v>42</v>
      </c>
      <c r="C11" s="5">
        <v>6.0</v>
      </c>
      <c r="D11" s="5">
        <v>6.0</v>
      </c>
      <c r="E11" s="5">
        <v>5.0</v>
      </c>
      <c r="F11" s="5">
        <v>6.0</v>
      </c>
      <c r="G11" s="5">
        <v>7.0</v>
      </c>
      <c r="H11" s="5">
        <v>5.0</v>
      </c>
      <c r="I11" s="6" t="s">
        <v>43</v>
      </c>
      <c r="J11" s="6" t="s">
        <v>44</v>
      </c>
      <c r="K11" s="7"/>
      <c r="L11" s="6" t="s">
        <v>45</v>
      </c>
      <c r="M11" s="7"/>
      <c r="N11" s="6" t="s">
        <v>46</v>
      </c>
    </row>
    <row r="12">
      <c r="A12" s="4" t="s">
        <v>41</v>
      </c>
      <c r="B12" s="5" t="s">
        <v>22</v>
      </c>
      <c r="C12" s="5">
        <v>4.0</v>
      </c>
      <c r="D12" s="5">
        <v>4.0</v>
      </c>
      <c r="E12" s="5">
        <v>4.0</v>
      </c>
      <c r="F12" s="5">
        <v>1.0</v>
      </c>
      <c r="G12" s="5">
        <v>1.0</v>
      </c>
      <c r="H12" s="5">
        <v>1.0</v>
      </c>
      <c r="I12" s="7"/>
      <c r="J12" s="7"/>
      <c r="K12" s="7"/>
      <c r="L12" s="7"/>
      <c r="M12" s="7"/>
      <c r="N12" s="7"/>
    </row>
    <row r="13">
      <c r="A13" s="4" t="s">
        <v>41</v>
      </c>
      <c r="B13" s="5" t="s">
        <v>24</v>
      </c>
      <c r="C13" s="5">
        <v>5.0</v>
      </c>
      <c r="D13" s="5">
        <v>7.0</v>
      </c>
      <c r="E13" s="5">
        <v>7.0</v>
      </c>
      <c r="F13" s="5">
        <v>3.0</v>
      </c>
      <c r="G13" s="5">
        <v>1.0</v>
      </c>
      <c r="H13" s="5">
        <v>1.0</v>
      </c>
      <c r="I13" s="6" t="s">
        <v>47</v>
      </c>
      <c r="J13" s="6" t="s">
        <v>48</v>
      </c>
      <c r="K13" s="6" t="s">
        <v>49</v>
      </c>
      <c r="L13" s="6" t="s">
        <v>50</v>
      </c>
      <c r="M13" s="6" t="s">
        <v>51</v>
      </c>
      <c r="N13" s="6" t="s">
        <v>52</v>
      </c>
    </row>
    <row r="14">
      <c r="A14" s="4" t="s">
        <v>53</v>
      </c>
      <c r="B14" s="5" t="s">
        <v>26</v>
      </c>
      <c r="C14" s="5">
        <v>4.0</v>
      </c>
      <c r="D14" s="5">
        <v>7.0</v>
      </c>
      <c r="E14" s="5">
        <v>4.0</v>
      </c>
      <c r="F14" s="5">
        <v>1.0</v>
      </c>
      <c r="G14" s="5">
        <v>4.0</v>
      </c>
      <c r="H14" s="5">
        <v>1.0</v>
      </c>
      <c r="I14" s="6" t="s">
        <v>54</v>
      </c>
      <c r="J14" s="7"/>
      <c r="K14" s="7"/>
      <c r="L14" s="7"/>
      <c r="M14" s="7"/>
      <c r="N14" s="7"/>
    </row>
    <row r="15">
      <c r="A15" s="4" t="s">
        <v>41</v>
      </c>
      <c r="B15" s="5" t="s">
        <v>23</v>
      </c>
      <c r="C15" s="5">
        <v>4.0</v>
      </c>
      <c r="D15" s="5">
        <v>3.0</v>
      </c>
      <c r="E15" s="5">
        <v>5.0</v>
      </c>
      <c r="F15" s="5">
        <v>5.0</v>
      </c>
      <c r="G15" s="5">
        <v>2.0</v>
      </c>
      <c r="H15" s="5">
        <v>2.0</v>
      </c>
      <c r="I15" s="7"/>
      <c r="J15" s="7"/>
      <c r="K15" s="7"/>
      <c r="L15" s="7"/>
      <c r="M15" s="7"/>
      <c r="N15" s="7"/>
    </row>
    <row r="16">
      <c r="A16" s="4" t="s">
        <v>55</v>
      </c>
      <c r="B16" s="5" t="s">
        <v>23</v>
      </c>
      <c r="C16" s="5">
        <v>5.0</v>
      </c>
      <c r="D16" s="5">
        <v>3.0</v>
      </c>
      <c r="E16" s="5">
        <v>4.0</v>
      </c>
      <c r="F16" s="5">
        <v>3.0</v>
      </c>
      <c r="G16" s="5">
        <v>2.0</v>
      </c>
      <c r="H16" s="5">
        <v>2.0</v>
      </c>
      <c r="I16" s="7"/>
      <c r="J16" s="7"/>
      <c r="K16" s="7"/>
      <c r="L16" s="7"/>
      <c r="M16" s="7"/>
      <c r="N16" s="7"/>
    </row>
    <row r="17">
      <c r="A17" s="4" t="s">
        <v>56</v>
      </c>
      <c r="B17" s="5" t="s">
        <v>42</v>
      </c>
      <c r="C17" s="5">
        <v>4.0</v>
      </c>
      <c r="D17" s="5">
        <v>6.0</v>
      </c>
      <c r="E17" s="5">
        <v>6.0</v>
      </c>
      <c r="F17" s="5">
        <v>6.0</v>
      </c>
      <c r="G17" s="5">
        <v>7.0</v>
      </c>
      <c r="H17" s="5">
        <v>4.0</v>
      </c>
      <c r="I17" s="7"/>
      <c r="J17" s="7"/>
      <c r="K17" s="7"/>
      <c r="L17" s="7"/>
      <c r="M17" s="7"/>
      <c r="N17" s="6" t="s">
        <v>57</v>
      </c>
    </row>
    <row r="18">
      <c r="A18" s="4" t="s">
        <v>55</v>
      </c>
      <c r="B18" s="5" t="s">
        <v>33</v>
      </c>
      <c r="C18" s="5">
        <v>5.0</v>
      </c>
      <c r="D18" s="5">
        <v>5.0</v>
      </c>
      <c r="E18" s="5">
        <v>2.0</v>
      </c>
      <c r="F18" s="5">
        <v>1.0</v>
      </c>
      <c r="G18" s="5">
        <v>1.0</v>
      </c>
      <c r="H18" s="5">
        <v>5.0</v>
      </c>
      <c r="I18" s="7"/>
      <c r="J18" s="7"/>
      <c r="K18" s="7"/>
      <c r="L18" s="7"/>
      <c r="M18" s="7"/>
      <c r="N18" s="7"/>
    </row>
    <row r="19">
      <c r="A19" s="4" t="s">
        <v>55</v>
      </c>
      <c r="B19" s="5" t="s">
        <v>34</v>
      </c>
      <c r="C19" s="5">
        <v>6.0</v>
      </c>
      <c r="D19" s="5">
        <v>7.0</v>
      </c>
      <c r="E19" s="5">
        <v>7.0</v>
      </c>
      <c r="F19" s="5">
        <v>3.0</v>
      </c>
      <c r="G19" s="5">
        <v>2.0</v>
      </c>
      <c r="H19" s="5">
        <v>1.0</v>
      </c>
      <c r="I19" s="6" t="s">
        <v>58</v>
      </c>
      <c r="J19" s="6" t="s">
        <v>59</v>
      </c>
      <c r="K19" s="7"/>
      <c r="L19" s="7"/>
      <c r="M19" s="7"/>
      <c r="N19" s="6" t="s">
        <v>60</v>
      </c>
    </row>
    <row r="20">
      <c r="A20" s="8"/>
      <c r="I20" s="7"/>
      <c r="J20" s="7"/>
      <c r="K20" s="7"/>
      <c r="L20" s="7"/>
      <c r="M20" s="7"/>
      <c r="N20" s="7"/>
    </row>
    <row r="21">
      <c r="A21" s="8"/>
      <c r="I21" s="7"/>
      <c r="J21" s="7"/>
      <c r="K21" s="7"/>
      <c r="L21" s="7"/>
      <c r="M21" s="7"/>
      <c r="N21" s="7"/>
    </row>
    <row r="22">
      <c r="A22" s="8"/>
      <c r="I22" s="7"/>
      <c r="J22" s="7"/>
      <c r="K22" s="7"/>
      <c r="L22" s="7"/>
      <c r="M22" s="7"/>
      <c r="N22" s="7"/>
    </row>
    <row r="23">
      <c r="A23" s="8"/>
      <c r="I23" s="7"/>
      <c r="J23" s="7"/>
      <c r="K23" s="7"/>
      <c r="L23" s="7"/>
      <c r="M23" s="7"/>
      <c r="N23" s="7"/>
    </row>
    <row r="24">
      <c r="A24" s="8"/>
      <c r="I24" s="7"/>
      <c r="J24" s="7"/>
      <c r="K24" s="7"/>
      <c r="L24" s="7"/>
      <c r="M24" s="7"/>
      <c r="N24" s="7"/>
    </row>
    <row r="25">
      <c r="A25" s="8"/>
      <c r="I25" s="7"/>
      <c r="J25" s="7"/>
      <c r="K25" s="7"/>
      <c r="L25" s="7"/>
      <c r="M25" s="7"/>
      <c r="N25" s="7"/>
    </row>
    <row r="26">
      <c r="A26" s="8"/>
      <c r="I26" s="7"/>
      <c r="J26" s="7"/>
      <c r="K26" s="7"/>
      <c r="L26" s="7"/>
      <c r="M26" s="7"/>
      <c r="N26" s="7"/>
    </row>
    <row r="27">
      <c r="A27" s="8"/>
      <c r="I27" s="7"/>
      <c r="J27" s="7"/>
      <c r="K27" s="7"/>
      <c r="L27" s="7"/>
      <c r="M27" s="7"/>
      <c r="N27" s="7"/>
    </row>
    <row r="28">
      <c r="A28" s="8"/>
      <c r="I28" s="7"/>
      <c r="J28" s="7"/>
      <c r="K28" s="7"/>
      <c r="L28" s="7"/>
      <c r="M28" s="7"/>
      <c r="N28" s="7"/>
    </row>
    <row r="29">
      <c r="A29" s="8"/>
      <c r="I29" s="7"/>
      <c r="J29" s="7"/>
      <c r="K29" s="7"/>
      <c r="L29" s="7"/>
      <c r="M29" s="7"/>
      <c r="N29" s="7"/>
    </row>
    <row r="30">
      <c r="A30" s="8"/>
      <c r="I30" s="7"/>
      <c r="J30" s="7"/>
      <c r="K30" s="7"/>
      <c r="L30" s="7"/>
      <c r="M30" s="7"/>
      <c r="N30" s="7"/>
    </row>
    <row r="31">
      <c r="A31" s="8"/>
      <c r="I31" s="7"/>
      <c r="J31" s="7"/>
      <c r="K31" s="7"/>
      <c r="L31" s="7"/>
      <c r="M31" s="7"/>
      <c r="N31" s="7"/>
    </row>
    <row r="32">
      <c r="A32" s="8"/>
      <c r="I32" s="7"/>
      <c r="J32" s="7"/>
      <c r="K32" s="7"/>
      <c r="L32" s="7"/>
      <c r="M32" s="7"/>
      <c r="N32" s="7"/>
    </row>
    <row r="33">
      <c r="A33" s="8"/>
      <c r="I33" s="7"/>
      <c r="J33" s="7"/>
      <c r="K33" s="7"/>
      <c r="L33" s="7"/>
      <c r="M33" s="7"/>
      <c r="N33" s="7"/>
    </row>
    <row r="34">
      <c r="A34" s="8"/>
      <c r="I34" s="7"/>
      <c r="J34" s="7"/>
      <c r="K34" s="7"/>
      <c r="L34" s="7"/>
      <c r="M34" s="7"/>
      <c r="N34" s="7"/>
    </row>
    <row r="35">
      <c r="A35" s="8"/>
      <c r="I35" s="7"/>
      <c r="J35" s="7"/>
      <c r="K35" s="7"/>
      <c r="L35" s="7"/>
      <c r="M35" s="7"/>
      <c r="N35" s="7"/>
    </row>
    <row r="36">
      <c r="A36" s="8"/>
      <c r="I36" s="7"/>
      <c r="J36" s="7"/>
      <c r="K36" s="7"/>
      <c r="L36" s="7"/>
      <c r="M36" s="7"/>
      <c r="N36" s="7"/>
    </row>
    <row r="37">
      <c r="A37" s="8"/>
      <c r="I37" s="7"/>
      <c r="J37" s="7"/>
      <c r="K37" s="7"/>
      <c r="L37" s="7"/>
      <c r="M37" s="7"/>
      <c r="N37" s="7"/>
    </row>
    <row r="38">
      <c r="A38" s="8"/>
      <c r="I38" s="7"/>
      <c r="J38" s="7"/>
      <c r="K38" s="7"/>
      <c r="L38" s="7"/>
      <c r="M38" s="7"/>
      <c r="N38" s="7"/>
    </row>
    <row r="39">
      <c r="A39" s="8"/>
      <c r="I39" s="7"/>
      <c r="J39" s="7"/>
      <c r="K39" s="7"/>
      <c r="L39" s="7"/>
      <c r="M39" s="7"/>
      <c r="N39" s="7"/>
    </row>
    <row r="40">
      <c r="A40" s="8"/>
      <c r="I40" s="7"/>
      <c r="J40" s="7"/>
      <c r="K40" s="7"/>
      <c r="L40" s="7"/>
      <c r="M40" s="7"/>
      <c r="N40" s="7"/>
    </row>
    <row r="41">
      <c r="A41" s="8"/>
      <c r="I41" s="7"/>
      <c r="J41" s="7"/>
      <c r="K41" s="7"/>
      <c r="L41" s="7"/>
      <c r="M41" s="7"/>
      <c r="N41" s="7"/>
    </row>
    <row r="42">
      <c r="A42" s="8"/>
      <c r="I42" s="7"/>
      <c r="J42" s="7"/>
      <c r="K42" s="7"/>
      <c r="L42" s="7"/>
      <c r="M42" s="7"/>
      <c r="N42" s="7"/>
    </row>
    <row r="43">
      <c r="A43" s="8"/>
      <c r="I43" s="7"/>
      <c r="J43" s="7"/>
      <c r="K43" s="7"/>
      <c r="L43" s="7"/>
      <c r="M43" s="7"/>
      <c r="N43" s="7"/>
    </row>
    <row r="44">
      <c r="A44" s="8"/>
      <c r="I44" s="7"/>
      <c r="J44" s="7"/>
      <c r="K44" s="7"/>
      <c r="L44" s="7"/>
      <c r="M44" s="7"/>
      <c r="N44" s="7"/>
    </row>
    <row r="45">
      <c r="A45" s="8"/>
      <c r="I45" s="7"/>
      <c r="J45" s="7"/>
      <c r="K45" s="7"/>
      <c r="L45" s="7"/>
      <c r="M45" s="7"/>
      <c r="N45" s="7"/>
    </row>
    <row r="46">
      <c r="A46" s="8"/>
      <c r="I46" s="7"/>
      <c r="J46" s="7"/>
      <c r="K46" s="7"/>
      <c r="L46" s="7"/>
      <c r="M46" s="7"/>
      <c r="N46" s="7"/>
    </row>
    <row r="47">
      <c r="A47" s="8"/>
      <c r="I47" s="7"/>
      <c r="J47" s="7"/>
      <c r="K47" s="7"/>
      <c r="L47" s="7"/>
      <c r="M47" s="7"/>
      <c r="N47" s="7"/>
    </row>
    <row r="48">
      <c r="A48" s="8"/>
      <c r="I48" s="7"/>
      <c r="J48" s="7"/>
      <c r="K48" s="7"/>
      <c r="L48" s="7"/>
      <c r="M48" s="7"/>
      <c r="N48" s="7"/>
    </row>
    <row r="49">
      <c r="A49" s="8"/>
      <c r="I49" s="7"/>
      <c r="J49" s="7"/>
      <c r="K49" s="7"/>
      <c r="L49" s="7"/>
      <c r="M49" s="7"/>
      <c r="N49" s="7"/>
    </row>
    <row r="50">
      <c r="A50" s="8"/>
      <c r="I50" s="7"/>
      <c r="J50" s="7"/>
      <c r="K50" s="7"/>
      <c r="L50" s="7"/>
      <c r="M50" s="7"/>
      <c r="N50" s="7"/>
    </row>
    <row r="51">
      <c r="A51" s="8"/>
      <c r="I51" s="7"/>
      <c r="J51" s="7"/>
      <c r="K51" s="7"/>
      <c r="L51" s="7"/>
      <c r="M51" s="7"/>
      <c r="N51" s="7"/>
    </row>
    <row r="52">
      <c r="A52" s="8"/>
      <c r="I52" s="7"/>
      <c r="J52" s="7"/>
      <c r="K52" s="7"/>
      <c r="L52" s="7"/>
      <c r="M52" s="7"/>
      <c r="N52" s="7"/>
    </row>
    <row r="53">
      <c r="A53" s="8"/>
      <c r="I53" s="7"/>
      <c r="J53" s="7"/>
      <c r="K53" s="7"/>
      <c r="L53" s="7"/>
      <c r="M53" s="7"/>
      <c r="N53" s="7"/>
    </row>
    <row r="54">
      <c r="A54" s="8"/>
      <c r="I54" s="7"/>
      <c r="J54" s="7"/>
      <c r="K54" s="7"/>
      <c r="L54" s="7"/>
      <c r="M54" s="7"/>
      <c r="N54" s="7"/>
    </row>
    <row r="55">
      <c r="A55" s="8"/>
      <c r="I55" s="7"/>
      <c r="J55" s="7"/>
      <c r="K55" s="7"/>
      <c r="L55" s="7"/>
      <c r="M55" s="7"/>
      <c r="N55" s="7"/>
    </row>
    <row r="56">
      <c r="A56" s="8"/>
      <c r="I56" s="7"/>
      <c r="J56" s="7"/>
      <c r="K56" s="7"/>
      <c r="L56" s="7"/>
      <c r="M56" s="7"/>
      <c r="N56" s="7"/>
    </row>
    <row r="57">
      <c r="A57" s="8"/>
      <c r="I57" s="7"/>
      <c r="J57" s="7"/>
      <c r="K57" s="7"/>
      <c r="L57" s="7"/>
      <c r="M57" s="7"/>
      <c r="N57" s="7"/>
    </row>
    <row r="58">
      <c r="A58" s="8"/>
      <c r="I58" s="7"/>
      <c r="J58" s="7"/>
      <c r="K58" s="7"/>
      <c r="L58" s="7"/>
      <c r="M58" s="7"/>
      <c r="N58" s="7"/>
    </row>
    <row r="59">
      <c r="A59" s="8"/>
      <c r="I59" s="7"/>
      <c r="J59" s="7"/>
      <c r="K59" s="7"/>
      <c r="L59" s="7"/>
      <c r="M59" s="7"/>
      <c r="N59" s="7"/>
    </row>
    <row r="60">
      <c r="A60" s="8"/>
      <c r="I60" s="7"/>
      <c r="J60" s="7"/>
      <c r="K60" s="7"/>
      <c r="L60" s="7"/>
      <c r="M60" s="7"/>
      <c r="N60" s="7"/>
    </row>
    <row r="61">
      <c r="A61" s="8"/>
      <c r="I61" s="7"/>
      <c r="J61" s="7"/>
      <c r="K61" s="7"/>
      <c r="L61" s="7"/>
      <c r="M61" s="7"/>
      <c r="N61" s="7"/>
    </row>
    <row r="62">
      <c r="A62" s="8"/>
      <c r="I62" s="7"/>
      <c r="J62" s="7"/>
      <c r="K62" s="7"/>
      <c r="L62" s="7"/>
      <c r="M62" s="7"/>
      <c r="N62" s="7"/>
    </row>
    <row r="63">
      <c r="A63" s="8"/>
      <c r="I63" s="7"/>
      <c r="J63" s="7"/>
      <c r="K63" s="7"/>
      <c r="L63" s="7"/>
      <c r="M63" s="7"/>
      <c r="N63" s="7"/>
    </row>
    <row r="64">
      <c r="A64" s="8"/>
      <c r="I64" s="7"/>
      <c r="J64" s="7"/>
      <c r="K64" s="7"/>
      <c r="L64" s="7"/>
      <c r="M64" s="7"/>
      <c r="N64" s="7"/>
    </row>
    <row r="65">
      <c r="A65" s="8"/>
      <c r="I65" s="7"/>
      <c r="J65" s="7"/>
      <c r="K65" s="7"/>
      <c r="L65" s="7"/>
      <c r="M65" s="7"/>
      <c r="N65" s="7"/>
    </row>
    <row r="66">
      <c r="A66" s="8"/>
      <c r="I66" s="7"/>
      <c r="J66" s="7"/>
      <c r="K66" s="7"/>
      <c r="L66" s="7"/>
      <c r="M66" s="7"/>
      <c r="N66" s="7"/>
    </row>
    <row r="67">
      <c r="A67" s="8"/>
      <c r="I67" s="7"/>
      <c r="J67" s="7"/>
      <c r="K67" s="7"/>
      <c r="L67" s="7"/>
      <c r="M67" s="7"/>
      <c r="N67" s="7"/>
    </row>
    <row r="68">
      <c r="A68" s="8"/>
      <c r="I68" s="7"/>
      <c r="J68" s="7"/>
      <c r="K68" s="7"/>
      <c r="L68" s="7"/>
      <c r="M68" s="7"/>
      <c r="N68" s="7"/>
    </row>
    <row r="69">
      <c r="A69" s="8"/>
      <c r="I69" s="7"/>
      <c r="J69" s="7"/>
      <c r="K69" s="7"/>
      <c r="L69" s="7"/>
      <c r="M69" s="7"/>
      <c r="N69" s="7"/>
    </row>
    <row r="70">
      <c r="A70" s="8"/>
      <c r="I70" s="7"/>
      <c r="J70" s="7"/>
      <c r="K70" s="7"/>
      <c r="L70" s="7"/>
      <c r="M70" s="7"/>
      <c r="N70" s="7"/>
    </row>
    <row r="71">
      <c r="A71" s="8"/>
      <c r="I71" s="7"/>
      <c r="J71" s="7"/>
      <c r="K71" s="7"/>
      <c r="L71" s="7"/>
      <c r="M71" s="7"/>
      <c r="N71" s="7"/>
    </row>
    <row r="72">
      <c r="A72" s="8"/>
      <c r="I72" s="7"/>
      <c r="J72" s="7"/>
      <c r="K72" s="7"/>
      <c r="L72" s="7"/>
      <c r="M72" s="7"/>
      <c r="N72" s="7"/>
    </row>
    <row r="73">
      <c r="A73" s="8"/>
      <c r="I73" s="7"/>
      <c r="J73" s="7"/>
      <c r="K73" s="7"/>
      <c r="L73" s="7"/>
      <c r="M73" s="7"/>
      <c r="N73" s="7"/>
    </row>
    <row r="74">
      <c r="A74" s="8"/>
      <c r="I74" s="7"/>
      <c r="J74" s="7"/>
      <c r="K74" s="7"/>
      <c r="L74" s="7"/>
      <c r="M74" s="7"/>
      <c r="N74" s="7"/>
    </row>
    <row r="75">
      <c r="A75" s="8"/>
      <c r="I75" s="7"/>
      <c r="J75" s="7"/>
      <c r="K75" s="7"/>
      <c r="L75" s="7"/>
      <c r="M75" s="7"/>
      <c r="N75" s="7"/>
    </row>
    <row r="76">
      <c r="A76" s="8"/>
      <c r="I76" s="7"/>
      <c r="J76" s="7"/>
      <c r="K76" s="7"/>
      <c r="L76" s="7"/>
      <c r="M76" s="7"/>
      <c r="N76" s="7"/>
    </row>
    <row r="77">
      <c r="A77" s="8"/>
      <c r="I77" s="7"/>
      <c r="J77" s="7"/>
      <c r="K77" s="7"/>
      <c r="L77" s="7"/>
      <c r="M77" s="7"/>
      <c r="N77" s="7"/>
    </row>
    <row r="78">
      <c r="A78" s="8"/>
      <c r="I78" s="7"/>
      <c r="J78" s="7"/>
      <c r="K78" s="7"/>
      <c r="L78" s="7"/>
      <c r="M78" s="7"/>
      <c r="N78" s="7"/>
    </row>
    <row r="79">
      <c r="A79" s="8"/>
      <c r="I79" s="7"/>
      <c r="J79" s="7"/>
      <c r="K79" s="7"/>
      <c r="L79" s="7"/>
      <c r="M79" s="7"/>
      <c r="N79" s="7"/>
    </row>
    <row r="80">
      <c r="A80" s="8"/>
      <c r="I80" s="7"/>
      <c r="J80" s="7"/>
      <c r="K80" s="7"/>
      <c r="L80" s="7"/>
      <c r="M80" s="7"/>
      <c r="N80" s="7"/>
    </row>
    <row r="81">
      <c r="A81" s="8"/>
      <c r="I81" s="7"/>
      <c r="J81" s="7"/>
      <c r="K81" s="7"/>
      <c r="L81" s="7"/>
      <c r="M81" s="7"/>
      <c r="N81" s="7"/>
    </row>
    <row r="82">
      <c r="A82" s="8"/>
      <c r="I82" s="7"/>
      <c r="J82" s="7"/>
      <c r="K82" s="7"/>
      <c r="L82" s="7"/>
      <c r="M82" s="7"/>
      <c r="N82" s="7"/>
    </row>
    <row r="83">
      <c r="A83" s="8"/>
      <c r="I83" s="7"/>
      <c r="J83" s="7"/>
      <c r="K83" s="7"/>
      <c r="L83" s="7"/>
      <c r="M83" s="7"/>
      <c r="N83" s="7"/>
    </row>
    <row r="84">
      <c r="A84" s="8"/>
      <c r="I84" s="7"/>
      <c r="J84" s="7"/>
      <c r="K84" s="7"/>
      <c r="L84" s="7"/>
      <c r="M84" s="7"/>
      <c r="N84" s="7"/>
    </row>
    <row r="85">
      <c r="A85" s="8"/>
      <c r="I85" s="7"/>
      <c r="J85" s="7"/>
      <c r="K85" s="7"/>
      <c r="L85" s="7"/>
      <c r="M85" s="7"/>
      <c r="N85" s="7"/>
    </row>
    <row r="86">
      <c r="A86" s="8"/>
      <c r="I86" s="7"/>
      <c r="J86" s="7"/>
      <c r="K86" s="7"/>
      <c r="L86" s="7"/>
      <c r="M86" s="7"/>
      <c r="N86" s="7"/>
    </row>
    <row r="87">
      <c r="A87" s="8"/>
      <c r="I87" s="7"/>
      <c r="J87" s="7"/>
      <c r="K87" s="7"/>
      <c r="L87" s="7"/>
      <c r="M87" s="7"/>
      <c r="N87" s="7"/>
    </row>
    <row r="88">
      <c r="A88" s="8"/>
      <c r="I88" s="7"/>
      <c r="J88" s="7"/>
      <c r="K88" s="7"/>
      <c r="L88" s="7"/>
      <c r="M88" s="7"/>
      <c r="N88" s="7"/>
    </row>
    <row r="89">
      <c r="A89" s="8"/>
      <c r="I89" s="7"/>
      <c r="J89" s="7"/>
      <c r="K89" s="7"/>
      <c r="L89" s="7"/>
      <c r="M89" s="7"/>
      <c r="N89" s="7"/>
    </row>
    <row r="90">
      <c r="A90" s="8"/>
      <c r="I90" s="7"/>
      <c r="J90" s="7"/>
      <c r="K90" s="7"/>
      <c r="L90" s="7"/>
      <c r="M90" s="7"/>
      <c r="N90" s="7"/>
    </row>
    <row r="91">
      <c r="A91" s="8"/>
      <c r="I91" s="7"/>
      <c r="J91" s="7"/>
      <c r="K91" s="7"/>
      <c r="L91" s="7"/>
      <c r="M91" s="7"/>
      <c r="N91" s="7"/>
    </row>
    <row r="92">
      <c r="A92" s="8"/>
      <c r="I92" s="7"/>
      <c r="J92" s="7"/>
      <c r="K92" s="7"/>
      <c r="L92" s="7"/>
      <c r="M92" s="7"/>
      <c r="N92" s="7"/>
    </row>
    <row r="93">
      <c r="A93" s="8"/>
      <c r="I93" s="7"/>
      <c r="J93" s="7"/>
      <c r="K93" s="7"/>
      <c r="L93" s="7"/>
      <c r="M93" s="7"/>
      <c r="N93" s="7"/>
    </row>
    <row r="94">
      <c r="A94" s="8"/>
      <c r="I94" s="7"/>
      <c r="J94" s="7"/>
      <c r="K94" s="7"/>
      <c r="L94" s="7"/>
      <c r="M94" s="7"/>
      <c r="N94" s="7"/>
    </row>
    <row r="95">
      <c r="A95" s="8"/>
      <c r="I95" s="7"/>
      <c r="J95" s="7"/>
      <c r="K95" s="7"/>
      <c r="L95" s="7"/>
      <c r="M95" s="7"/>
      <c r="N95" s="7"/>
    </row>
    <row r="96">
      <c r="A96" s="8"/>
      <c r="I96" s="7"/>
      <c r="J96" s="7"/>
      <c r="K96" s="7"/>
      <c r="L96" s="7"/>
      <c r="M96" s="7"/>
      <c r="N96" s="7"/>
    </row>
    <row r="97">
      <c r="A97" s="8"/>
      <c r="I97" s="7"/>
      <c r="J97" s="7"/>
      <c r="K97" s="7"/>
      <c r="L97" s="7"/>
      <c r="M97" s="7"/>
      <c r="N97" s="7"/>
    </row>
    <row r="98">
      <c r="A98" s="8"/>
      <c r="I98" s="7"/>
      <c r="J98" s="7"/>
      <c r="K98" s="7"/>
      <c r="L98" s="7"/>
      <c r="M98" s="7"/>
      <c r="N98" s="7"/>
    </row>
    <row r="99">
      <c r="A99" s="8"/>
      <c r="I99" s="7"/>
      <c r="J99" s="7"/>
      <c r="K99" s="7"/>
      <c r="L99" s="7"/>
      <c r="M99" s="7"/>
      <c r="N99" s="7"/>
    </row>
    <row r="100">
      <c r="A100" s="8"/>
      <c r="I100" s="7"/>
      <c r="J100" s="7"/>
      <c r="K100" s="7"/>
      <c r="L100" s="7"/>
      <c r="M100" s="7"/>
      <c r="N100" s="7"/>
    </row>
    <row r="101">
      <c r="A101" s="8"/>
      <c r="I101" s="7"/>
      <c r="J101" s="7"/>
      <c r="K101" s="7"/>
      <c r="L101" s="7"/>
      <c r="M101" s="7"/>
      <c r="N101" s="7"/>
    </row>
    <row r="102">
      <c r="A102" s="8"/>
      <c r="I102" s="7"/>
      <c r="J102" s="7"/>
      <c r="K102" s="7"/>
      <c r="L102" s="7"/>
      <c r="M102" s="7"/>
      <c r="N102" s="7"/>
    </row>
    <row r="103">
      <c r="A103" s="8"/>
      <c r="I103" s="7"/>
      <c r="J103" s="7"/>
      <c r="K103" s="7"/>
      <c r="L103" s="7"/>
      <c r="M103" s="7"/>
      <c r="N103" s="7"/>
    </row>
    <row r="104">
      <c r="A104" s="8"/>
      <c r="I104" s="7"/>
      <c r="J104" s="7"/>
      <c r="K104" s="7"/>
      <c r="L104" s="7"/>
      <c r="M104" s="7"/>
      <c r="N104" s="7"/>
    </row>
    <row r="105">
      <c r="A105" s="8"/>
      <c r="I105" s="7"/>
      <c r="J105" s="7"/>
      <c r="K105" s="7"/>
      <c r="L105" s="7"/>
      <c r="M105" s="7"/>
      <c r="N105" s="7"/>
    </row>
    <row r="106">
      <c r="A106" s="8"/>
      <c r="I106" s="7"/>
      <c r="J106" s="7"/>
      <c r="K106" s="7"/>
      <c r="L106" s="7"/>
      <c r="M106" s="7"/>
      <c r="N106" s="7"/>
    </row>
    <row r="107">
      <c r="A107" s="8"/>
      <c r="I107" s="7"/>
      <c r="J107" s="7"/>
      <c r="K107" s="7"/>
      <c r="L107" s="7"/>
      <c r="M107" s="7"/>
      <c r="N107" s="7"/>
    </row>
    <row r="108">
      <c r="A108" s="8"/>
      <c r="I108" s="7"/>
      <c r="J108" s="7"/>
      <c r="K108" s="7"/>
      <c r="L108" s="7"/>
      <c r="M108" s="7"/>
      <c r="N108" s="7"/>
    </row>
    <row r="109">
      <c r="A109" s="8"/>
      <c r="I109" s="7"/>
      <c r="J109" s="7"/>
      <c r="K109" s="7"/>
      <c r="L109" s="7"/>
      <c r="M109" s="7"/>
      <c r="N109" s="7"/>
    </row>
    <row r="110">
      <c r="A110" s="8"/>
      <c r="I110" s="7"/>
      <c r="J110" s="7"/>
      <c r="K110" s="7"/>
      <c r="L110" s="7"/>
      <c r="M110" s="7"/>
      <c r="N110" s="7"/>
    </row>
    <row r="111">
      <c r="A111" s="8"/>
      <c r="I111" s="7"/>
      <c r="J111" s="7"/>
      <c r="K111" s="7"/>
      <c r="L111" s="7"/>
      <c r="M111" s="7"/>
      <c r="N111" s="7"/>
    </row>
    <row r="112">
      <c r="A112" s="8"/>
      <c r="I112" s="7"/>
      <c r="J112" s="7"/>
      <c r="K112" s="7"/>
      <c r="L112" s="7"/>
      <c r="M112" s="7"/>
      <c r="N112" s="7"/>
    </row>
    <row r="113">
      <c r="A113" s="8"/>
      <c r="I113" s="7"/>
      <c r="J113" s="7"/>
      <c r="K113" s="7"/>
      <c r="L113" s="7"/>
      <c r="M113" s="7"/>
      <c r="N113" s="7"/>
    </row>
    <row r="114">
      <c r="A114" s="8"/>
      <c r="I114" s="7"/>
      <c r="J114" s="7"/>
      <c r="K114" s="7"/>
      <c r="L114" s="7"/>
      <c r="M114" s="7"/>
      <c r="N114" s="7"/>
    </row>
    <row r="115">
      <c r="A115" s="8"/>
      <c r="I115" s="7"/>
      <c r="J115" s="7"/>
      <c r="K115" s="7"/>
      <c r="L115" s="7"/>
      <c r="M115" s="7"/>
      <c r="N115" s="7"/>
    </row>
    <row r="116">
      <c r="A116" s="8"/>
      <c r="I116" s="7"/>
      <c r="J116" s="7"/>
      <c r="K116" s="7"/>
      <c r="L116" s="7"/>
      <c r="M116" s="7"/>
      <c r="N116" s="7"/>
    </row>
    <row r="117">
      <c r="A117" s="8"/>
      <c r="I117" s="7"/>
      <c r="J117" s="7"/>
      <c r="K117" s="7"/>
      <c r="L117" s="7"/>
      <c r="M117" s="7"/>
      <c r="N117" s="7"/>
    </row>
    <row r="118">
      <c r="A118" s="8"/>
      <c r="I118" s="7"/>
      <c r="J118" s="7"/>
      <c r="K118" s="7"/>
      <c r="L118" s="7"/>
      <c r="M118" s="7"/>
      <c r="N118" s="7"/>
    </row>
    <row r="119">
      <c r="A119" s="8"/>
      <c r="I119" s="7"/>
      <c r="J119" s="7"/>
      <c r="K119" s="7"/>
      <c r="L119" s="7"/>
      <c r="M119" s="7"/>
      <c r="N119" s="7"/>
    </row>
    <row r="120">
      <c r="A120" s="8"/>
      <c r="I120" s="7"/>
      <c r="J120" s="7"/>
      <c r="K120" s="7"/>
      <c r="L120" s="7"/>
      <c r="M120" s="7"/>
      <c r="N120" s="7"/>
    </row>
    <row r="121">
      <c r="A121" s="8"/>
      <c r="I121" s="7"/>
      <c r="J121" s="7"/>
      <c r="K121" s="7"/>
      <c r="L121" s="7"/>
      <c r="M121" s="7"/>
      <c r="N121" s="7"/>
    </row>
    <row r="122">
      <c r="A122" s="8"/>
      <c r="I122" s="7"/>
      <c r="J122" s="7"/>
      <c r="K122" s="7"/>
      <c r="L122" s="7"/>
      <c r="M122" s="7"/>
      <c r="N122" s="7"/>
    </row>
    <row r="123">
      <c r="A123" s="8"/>
      <c r="I123" s="7"/>
      <c r="J123" s="7"/>
      <c r="K123" s="7"/>
      <c r="L123" s="7"/>
      <c r="M123" s="7"/>
      <c r="N123" s="7"/>
    </row>
    <row r="124">
      <c r="A124" s="8"/>
      <c r="I124" s="7"/>
      <c r="J124" s="7"/>
      <c r="K124" s="7"/>
      <c r="L124" s="7"/>
      <c r="M124" s="7"/>
      <c r="N124" s="7"/>
    </row>
    <row r="125">
      <c r="A125" s="8"/>
      <c r="I125" s="7"/>
      <c r="J125" s="7"/>
      <c r="K125" s="7"/>
      <c r="L125" s="7"/>
      <c r="M125" s="7"/>
      <c r="N125" s="7"/>
    </row>
    <row r="126">
      <c r="A126" s="8"/>
      <c r="I126" s="7"/>
      <c r="J126" s="7"/>
      <c r="K126" s="7"/>
      <c r="L126" s="7"/>
      <c r="M126" s="7"/>
      <c r="N126" s="7"/>
    </row>
    <row r="127">
      <c r="A127" s="8"/>
      <c r="I127" s="7"/>
      <c r="J127" s="7"/>
      <c r="K127" s="7"/>
      <c r="L127" s="7"/>
      <c r="M127" s="7"/>
      <c r="N127" s="7"/>
    </row>
    <row r="128">
      <c r="A128" s="8"/>
      <c r="I128" s="7"/>
      <c r="J128" s="7"/>
      <c r="K128" s="7"/>
      <c r="L128" s="7"/>
      <c r="M128" s="7"/>
      <c r="N128" s="7"/>
    </row>
    <row r="129">
      <c r="A129" s="8"/>
      <c r="I129" s="7"/>
      <c r="J129" s="7"/>
      <c r="K129" s="7"/>
      <c r="L129" s="7"/>
      <c r="M129" s="7"/>
      <c r="N129" s="7"/>
    </row>
    <row r="130">
      <c r="A130" s="8"/>
      <c r="I130" s="7"/>
      <c r="J130" s="7"/>
      <c r="K130" s="7"/>
      <c r="L130" s="7"/>
      <c r="M130" s="7"/>
      <c r="N130" s="7"/>
    </row>
    <row r="131">
      <c r="A131" s="8"/>
      <c r="I131" s="7"/>
      <c r="J131" s="7"/>
      <c r="K131" s="7"/>
      <c r="L131" s="7"/>
      <c r="M131" s="7"/>
      <c r="N131" s="7"/>
    </row>
    <row r="132">
      <c r="A132" s="8"/>
      <c r="I132" s="7"/>
      <c r="J132" s="7"/>
      <c r="K132" s="7"/>
      <c r="L132" s="7"/>
      <c r="M132" s="7"/>
      <c r="N132" s="7"/>
    </row>
    <row r="133">
      <c r="A133" s="8"/>
      <c r="I133" s="7"/>
      <c r="J133" s="7"/>
      <c r="K133" s="7"/>
      <c r="L133" s="7"/>
      <c r="M133" s="7"/>
      <c r="N133" s="7"/>
    </row>
    <row r="134">
      <c r="A134" s="8"/>
      <c r="I134" s="7"/>
      <c r="J134" s="7"/>
      <c r="K134" s="7"/>
      <c r="L134" s="7"/>
      <c r="M134" s="7"/>
      <c r="N134" s="7"/>
    </row>
    <row r="135">
      <c r="A135" s="8"/>
      <c r="I135" s="7"/>
      <c r="J135" s="7"/>
      <c r="K135" s="7"/>
      <c r="L135" s="7"/>
      <c r="M135" s="7"/>
      <c r="N135" s="7"/>
    </row>
    <row r="136">
      <c r="A136" s="8"/>
      <c r="I136" s="7"/>
      <c r="J136" s="7"/>
      <c r="K136" s="7"/>
      <c r="L136" s="7"/>
      <c r="M136" s="7"/>
      <c r="N136" s="7"/>
    </row>
    <row r="137">
      <c r="A137" s="8"/>
      <c r="I137" s="7"/>
      <c r="J137" s="7"/>
      <c r="K137" s="7"/>
      <c r="L137" s="7"/>
      <c r="M137" s="7"/>
      <c r="N137" s="7"/>
    </row>
    <row r="138">
      <c r="A138" s="8"/>
      <c r="I138" s="7"/>
      <c r="J138" s="7"/>
      <c r="K138" s="7"/>
      <c r="L138" s="7"/>
      <c r="M138" s="7"/>
      <c r="N138" s="7"/>
    </row>
    <row r="139">
      <c r="A139" s="8"/>
      <c r="I139" s="7"/>
      <c r="J139" s="7"/>
      <c r="K139" s="7"/>
      <c r="L139" s="7"/>
      <c r="M139" s="7"/>
      <c r="N139" s="7"/>
    </row>
    <row r="140">
      <c r="A140" s="8"/>
      <c r="I140" s="7"/>
      <c r="J140" s="7"/>
      <c r="K140" s="7"/>
      <c r="L140" s="7"/>
      <c r="M140" s="7"/>
      <c r="N140" s="7"/>
    </row>
    <row r="141">
      <c r="A141" s="8"/>
      <c r="I141" s="7"/>
      <c r="J141" s="7"/>
      <c r="K141" s="7"/>
      <c r="L141" s="7"/>
      <c r="M141" s="7"/>
      <c r="N141" s="7"/>
    </row>
    <row r="142">
      <c r="A142" s="8"/>
      <c r="I142" s="7"/>
      <c r="J142" s="7"/>
      <c r="K142" s="7"/>
      <c r="L142" s="7"/>
      <c r="M142" s="7"/>
      <c r="N142" s="7"/>
    </row>
    <row r="143">
      <c r="A143" s="8"/>
      <c r="I143" s="7"/>
      <c r="J143" s="7"/>
      <c r="K143" s="7"/>
      <c r="L143" s="7"/>
      <c r="M143" s="7"/>
      <c r="N143" s="7"/>
    </row>
    <row r="144">
      <c r="A144" s="8"/>
      <c r="I144" s="7"/>
      <c r="J144" s="7"/>
      <c r="K144" s="7"/>
      <c r="L144" s="7"/>
      <c r="M144" s="7"/>
      <c r="N144" s="7"/>
    </row>
    <row r="145">
      <c r="A145" s="8"/>
      <c r="I145" s="7"/>
      <c r="J145" s="7"/>
      <c r="K145" s="7"/>
      <c r="L145" s="7"/>
      <c r="M145" s="7"/>
      <c r="N145" s="7"/>
    </row>
    <row r="146">
      <c r="A146" s="8"/>
      <c r="I146" s="7"/>
      <c r="J146" s="7"/>
      <c r="K146" s="7"/>
      <c r="L146" s="7"/>
      <c r="M146" s="7"/>
      <c r="N146" s="7"/>
    </row>
    <row r="147">
      <c r="A147" s="8"/>
      <c r="I147" s="7"/>
      <c r="J147" s="7"/>
      <c r="K147" s="7"/>
      <c r="L147" s="7"/>
      <c r="M147" s="7"/>
      <c r="N147" s="7"/>
    </row>
    <row r="148">
      <c r="A148" s="8"/>
      <c r="I148" s="7"/>
      <c r="J148" s="7"/>
      <c r="K148" s="7"/>
      <c r="L148" s="7"/>
      <c r="M148" s="7"/>
      <c r="N148" s="7"/>
    </row>
    <row r="149">
      <c r="A149" s="8"/>
      <c r="I149" s="7"/>
      <c r="J149" s="7"/>
      <c r="K149" s="7"/>
      <c r="L149" s="7"/>
      <c r="M149" s="7"/>
      <c r="N149" s="7"/>
    </row>
    <row r="150">
      <c r="A150" s="8"/>
      <c r="I150" s="7"/>
      <c r="J150" s="7"/>
      <c r="K150" s="7"/>
      <c r="L150" s="7"/>
      <c r="M150" s="7"/>
      <c r="N150" s="7"/>
    </row>
    <row r="151">
      <c r="A151" s="8"/>
      <c r="I151" s="7"/>
      <c r="J151" s="7"/>
      <c r="K151" s="7"/>
      <c r="L151" s="7"/>
      <c r="M151" s="7"/>
      <c r="N151" s="7"/>
    </row>
    <row r="152">
      <c r="A152" s="8"/>
      <c r="I152" s="7"/>
      <c r="J152" s="7"/>
      <c r="K152" s="7"/>
      <c r="L152" s="7"/>
      <c r="M152" s="7"/>
      <c r="N152" s="7"/>
    </row>
    <row r="153">
      <c r="A153" s="8"/>
      <c r="I153" s="7"/>
      <c r="J153" s="7"/>
      <c r="K153" s="7"/>
      <c r="L153" s="7"/>
      <c r="M153" s="7"/>
      <c r="N153" s="7"/>
    </row>
    <row r="154">
      <c r="A154" s="8"/>
      <c r="I154" s="7"/>
      <c r="J154" s="7"/>
      <c r="K154" s="7"/>
      <c r="L154" s="7"/>
      <c r="M154" s="7"/>
      <c r="N154" s="7"/>
    </row>
    <row r="155">
      <c r="A155" s="8"/>
      <c r="I155" s="7"/>
      <c r="J155" s="7"/>
      <c r="K155" s="7"/>
      <c r="L155" s="7"/>
      <c r="M155" s="7"/>
      <c r="N155" s="7"/>
    </row>
    <row r="156">
      <c r="A156" s="8"/>
      <c r="I156" s="7"/>
      <c r="J156" s="7"/>
      <c r="K156" s="7"/>
      <c r="L156" s="7"/>
      <c r="M156" s="7"/>
      <c r="N156" s="7"/>
    </row>
    <row r="157">
      <c r="A157" s="8"/>
      <c r="I157" s="7"/>
      <c r="J157" s="7"/>
      <c r="K157" s="7"/>
      <c r="L157" s="7"/>
      <c r="M157" s="7"/>
      <c r="N157" s="7"/>
    </row>
    <row r="158">
      <c r="A158" s="8"/>
      <c r="I158" s="7"/>
      <c r="J158" s="7"/>
      <c r="K158" s="7"/>
      <c r="L158" s="7"/>
      <c r="M158" s="7"/>
      <c r="N158" s="7"/>
    </row>
    <row r="159">
      <c r="A159" s="8"/>
      <c r="I159" s="7"/>
      <c r="J159" s="7"/>
      <c r="K159" s="7"/>
      <c r="L159" s="7"/>
      <c r="M159" s="7"/>
      <c r="N159" s="7"/>
    </row>
    <row r="160">
      <c r="A160" s="8"/>
      <c r="I160" s="7"/>
      <c r="J160" s="7"/>
      <c r="K160" s="7"/>
      <c r="L160" s="7"/>
      <c r="M160" s="7"/>
      <c r="N160" s="7"/>
    </row>
    <row r="161">
      <c r="A161" s="8"/>
      <c r="I161" s="7"/>
      <c r="J161" s="7"/>
      <c r="K161" s="7"/>
      <c r="L161" s="7"/>
      <c r="M161" s="7"/>
      <c r="N161" s="7"/>
    </row>
    <row r="162">
      <c r="A162" s="8"/>
      <c r="I162" s="7"/>
      <c r="J162" s="7"/>
      <c r="K162" s="7"/>
      <c r="L162" s="7"/>
      <c r="M162" s="7"/>
      <c r="N162" s="7"/>
    </row>
    <row r="163">
      <c r="A163" s="8"/>
      <c r="I163" s="7"/>
      <c r="J163" s="7"/>
      <c r="K163" s="7"/>
      <c r="L163" s="7"/>
      <c r="M163" s="7"/>
      <c r="N163" s="7"/>
    </row>
    <row r="164">
      <c r="A164" s="8"/>
      <c r="I164" s="7"/>
      <c r="J164" s="7"/>
      <c r="K164" s="7"/>
      <c r="L164" s="7"/>
      <c r="M164" s="7"/>
      <c r="N164" s="7"/>
    </row>
    <row r="165">
      <c r="A165" s="8"/>
      <c r="I165" s="7"/>
      <c r="J165" s="7"/>
      <c r="K165" s="7"/>
      <c r="L165" s="7"/>
      <c r="M165" s="7"/>
      <c r="N165" s="7"/>
    </row>
    <row r="166">
      <c r="A166" s="8"/>
      <c r="I166" s="7"/>
      <c r="J166" s="7"/>
      <c r="K166" s="7"/>
      <c r="L166" s="7"/>
      <c r="M166" s="7"/>
      <c r="N166" s="7"/>
    </row>
    <row r="167">
      <c r="A167" s="8"/>
      <c r="I167" s="7"/>
      <c r="J167" s="7"/>
      <c r="K167" s="7"/>
      <c r="L167" s="7"/>
      <c r="M167" s="7"/>
      <c r="N167" s="7"/>
    </row>
    <row r="168">
      <c r="A168" s="8"/>
      <c r="I168" s="7"/>
      <c r="J168" s="7"/>
      <c r="K168" s="7"/>
      <c r="L168" s="7"/>
      <c r="M168" s="7"/>
      <c r="N168" s="7"/>
    </row>
    <row r="169">
      <c r="A169" s="8"/>
      <c r="I169" s="7"/>
      <c r="J169" s="7"/>
      <c r="K169" s="7"/>
      <c r="L169" s="7"/>
      <c r="M169" s="7"/>
      <c r="N169" s="7"/>
    </row>
    <row r="170">
      <c r="A170" s="8"/>
      <c r="I170" s="7"/>
      <c r="J170" s="7"/>
      <c r="K170" s="7"/>
      <c r="L170" s="7"/>
      <c r="M170" s="7"/>
      <c r="N170" s="7"/>
    </row>
    <row r="171">
      <c r="A171" s="8"/>
      <c r="I171" s="7"/>
      <c r="J171" s="7"/>
      <c r="K171" s="7"/>
      <c r="L171" s="7"/>
      <c r="M171" s="7"/>
      <c r="N171" s="7"/>
    </row>
    <row r="172">
      <c r="A172" s="8"/>
      <c r="I172" s="7"/>
      <c r="J172" s="7"/>
      <c r="K172" s="7"/>
      <c r="L172" s="7"/>
      <c r="M172" s="7"/>
      <c r="N172" s="7"/>
    </row>
    <row r="173">
      <c r="A173" s="8"/>
      <c r="I173" s="7"/>
      <c r="J173" s="7"/>
      <c r="K173" s="7"/>
      <c r="L173" s="7"/>
      <c r="M173" s="7"/>
      <c r="N173" s="7"/>
    </row>
    <row r="174">
      <c r="A174" s="8"/>
      <c r="I174" s="7"/>
      <c r="J174" s="7"/>
      <c r="K174" s="7"/>
      <c r="L174" s="7"/>
      <c r="M174" s="7"/>
      <c r="N174" s="7"/>
    </row>
    <row r="175">
      <c r="A175" s="8"/>
      <c r="I175" s="7"/>
      <c r="J175" s="7"/>
      <c r="K175" s="7"/>
      <c r="L175" s="7"/>
      <c r="M175" s="7"/>
      <c r="N175" s="7"/>
    </row>
    <row r="176">
      <c r="A176" s="8"/>
      <c r="I176" s="7"/>
      <c r="J176" s="7"/>
      <c r="K176" s="7"/>
      <c r="L176" s="7"/>
      <c r="M176" s="7"/>
      <c r="N176" s="7"/>
    </row>
    <row r="177">
      <c r="A177" s="8"/>
      <c r="I177" s="7"/>
      <c r="J177" s="7"/>
      <c r="K177" s="7"/>
      <c r="L177" s="7"/>
      <c r="M177" s="7"/>
      <c r="N177" s="7"/>
    </row>
    <row r="178">
      <c r="A178" s="8"/>
      <c r="I178" s="7"/>
      <c r="J178" s="7"/>
      <c r="K178" s="7"/>
      <c r="L178" s="7"/>
      <c r="M178" s="7"/>
      <c r="N178" s="7"/>
    </row>
    <row r="179">
      <c r="A179" s="8"/>
      <c r="I179" s="7"/>
      <c r="J179" s="7"/>
      <c r="K179" s="7"/>
      <c r="L179" s="7"/>
      <c r="M179" s="7"/>
      <c r="N179" s="7"/>
    </row>
    <row r="180">
      <c r="A180" s="8"/>
      <c r="I180" s="7"/>
      <c r="J180" s="7"/>
      <c r="K180" s="7"/>
      <c r="L180" s="7"/>
      <c r="M180" s="7"/>
      <c r="N180" s="7"/>
    </row>
    <row r="181">
      <c r="A181" s="8"/>
      <c r="I181" s="7"/>
      <c r="J181" s="7"/>
      <c r="K181" s="7"/>
      <c r="L181" s="7"/>
      <c r="M181" s="7"/>
      <c r="N181" s="7"/>
    </row>
    <row r="182">
      <c r="A182" s="8"/>
      <c r="I182" s="7"/>
      <c r="J182" s="7"/>
      <c r="K182" s="7"/>
      <c r="L182" s="7"/>
      <c r="M182" s="7"/>
      <c r="N182" s="7"/>
    </row>
    <row r="183">
      <c r="A183" s="8"/>
      <c r="I183" s="7"/>
      <c r="J183" s="7"/>
      <c r="K183" s="7"/>
      <c r="L183" s="7"/>
      <c r="M183" s="7"/>
      <c r="N183" s="7"/>
    </row>
    <row r="184">
      <c r="A184" s="8"/>
      <c r="I184" s="7"/>
      <c r="J184" s="7"/>
      <c r="K184" s="7"/>
      <c r="L184" s="7"/>
      <c r="M184" s="7"/>
      <c r="N184" s="7"/>
    </row>
    <row r="185">
      <c r="A185" s="8"/>
      <c r="I185" s="7"/>
      <c r="J185" s="7"/>
      <c r="K185" s="7"/>
      <c r="L185" s="7"/>
      <c r="M185" s="7"/>
      <c r="N185" s="7"/>
    </row>
    <row r="186">
      <c r="A186" s="8"/>
      <c r="I186" s="7"/>
      <c r="J186" s="7"/>
      <c r="K186" s="7"/>
      <c r="L186" s="7"/>
      <c r="M186" s="7"/>
      <c r="N186" s="7"/>
    </row>
    <row r="187">
      <c r="A187" s="8"/>
      <c r="I187" s="7"/>
      <c r="J187" s="7"/>
      <c r="K187" s="7"/>
      <c r="L187" s="7"/>
      <c r="M187" s="7"/>
      <c r="N187" s="7"/>
    </row>
    <row r="188">
      <c r="A188" s="8"/>
      <c r="I188" s="7"/>
      <c r="J188" s="7"/>
      <c r="K188" s="7"/>
      <c r="L188" s="7"/>
      <c r="M188" s="7"/>
      <c r="N188" s="7"/>
    </row>
    <row r="189">
      <c r="A189" s="8"/>
      <c r="I189" s="7"/>
      <c r="J189" s="7"/>
      <c r="K189" s="7"/>
      <c r="L189" s="7"/>
      <c r="M189" s="7"/>
      <c r="N189" s="7"/>
    </row>
    <row r="190">
      <c r="A190" s="8"/>
      <c r="I190" s="7"/>
      <c r="J190" s="7"/>
      <c r="K190" s="7"/>
      <c r="L190" s="7"/>
      <c r="M190" s="7"/>
      <c r="N190" s="7"/>
    </row>
    <row r="191">
      <c r="A191" s="8"/>
      <c r="I191" s="7"/>
      <c r="J191" s="7"/>
      <c r="K191" s="7"/>
      <c r="L191" s="7"/>
      <c r="M191" s="7"/>
      <c r="N191" s="7"/>
    </row>
    <row r="192">
      <c r="A192" s="8"/>
      <c r="I192" s="7"/>
      <c r="J192" s="7"/>
      <c r="K192" s="7"/>
      <c r="L192" s="7"/>
      <c r="M192" s="7"/>
      <c r="N192" s="7"/>
    </row>
    <row r="193">
      <c r="A193" s="8"/>
      <c r="I193" s="7"/>
      <c r="J193" s="7"/>
      <c r="K193" s="7"/>
      <c r="L193" s="7"/>
      <c r="M193" s="7"/>
      <c r="N193" s="7"/>
    </row>
    <row r="194">
      <c r="A194" s="8"/>
      <c r="I194" s="7"/>
      <c r="J194" s="7"/>
      <c r="K194" s="7"/>
      <c r="L194" s="7"/>
      <c r="M194" s="7"/>
      <c r="N194" s="7"/>
    </row>
    <row r="195">
      <c r="A195" s="8"/>
      <c r="I195" s="7"/>
      <c r="J195" s="7"/>
      <c r="K195" s="7"/>
      <c r="L195" s="7"/>
      <c r="M195" s="7"/>
      <c r="N195" s="7"/>
    </row>
    <row r="196">
      <c r="A196" s="8"/>
      <c r="I196" s="7"/>
      <c r="J196" s="7"/>
      <c r="K196" s="7"/>
      <c r="L196" s="7"/>
      <c r="M196" s="7"/>
      <c r="N196" s="7"/>
    </row>
    <row r="197">
      <c r="A197" s="8"/>
      <c r="I197" s="7"/>
      <c r="J197" s="7"/>
      <c r="K197" s="7"/>
      <c r="L197" s="7"/>
      <c r="M197" s="7"/>
      <c r="N197" s="7"/>
    </row>
    <row r="198">
      <c r="A198" s="8"/>
      <c r="I198" s="7"/>
      <c r="J198" s="7"/>
      <c r="K198" s="7"/>
      <c r="L198" s="7"/>
      <c r="M198" s="7"/>
      <c r="N198" s="7"/>
    </row>
    <row r="199">
      <c r="A199" s="8"/>
      <c r="I199" s="7"/>
      <c r="J199" s="7"/>
      <c r="K199" s="7"/>
      <c r="L199" s="7"/>
      <c r="M199" s="7"/>
      <c r="N199" s="7"/>
    </row>
    <row r="200">
      <c r="A200" s="8"/>
      <c r="I200" s="7"/>
      <c r="J200" s="7"/>
      <c r="K200" s="7"/>
      <c r="L200" s="7"/>
      <c r="M200" s="7"/>
      <c r="N200" s="7"/>
    </row>
    <row r="201">
      <c r="A201" s="8"/>
      <c r="I201" s="7"/>
      <c r="J201" s="7"/>
      <c r="K201" s="7"/>
      <c r="L201" s="7"/>
      <c r="M201" s="7"/>
      <c r="N201" s="7"/>
    </row>
    <row r="202">
      <c r="A202" s="8"/>
      <c r="I202" s="7"/>
      <c r="J202" s="7"/>
      <c r="K202" s="7"/>
      <c r="L202" s="7"/>
      <c r="M202" s="7"/>
      <c r="N202" s="7"/>
    </row>
    <row r="203">
      <c r="A203" s="8"/>
      <c r="I203" s="7"/>
      <c r="J203" s="7"/>
      <c r="K203" s="7"/>
      <c r="L203" s="7"/>
      <c r="M203" s="7"/>
      <c r="N203" s="7"/>
    </row>
    <row r="204">
      <c r="A204" s="8"/>
      <c r="I204" s="7"/>
      <c r="J204" s="7"/>
      <c r="K204" s="7"/>
      <c r="L204" s="7"/>
      <c r="M204" s="7"/>
      <c r="N204" s="7"/>
    </row>
    <row r="205">
      <c r="A205" s="8"/>
      <c r="I205" s="7"/>
      <c r="J205" s="7"/>
      <c r="K205" s="7"/>
      <c r="L205" s="7"/>
      <c r="M205" s="7"/>
      <c r="N205" s="7"/>
    </row>
    <row r="206">
      <c r="A206" s="8"/>
      <c r="I206" s="7"/>
      <c r="J206" s="7"/>
      <c r="K206" s="7"/>
      <c r="L206" s="7"/>
      <c r="M206" s="7"/>
      <c r="N206" s="7"/>
    </row>
    <row r="207">
      <c r="A207" s="8"/>
      <c r="I207" s="7"/>
      <c r="J207" s="7"/>
      <c r="K207" s="7"/>
      <c r="L207" s="7"/>
      <c r="M207" s="7"/>
      <c r="N207" s="7"/>
    </row>
    <row r="208">
      <c r="A208" s="8"/>
      <c r="I208" s="7"/>
      <c r="J208" s="7"/>
      <c r="K208" s="7"/>
      <c r="L208" s="7"/>
      <c r="M208" s="7"/>
      <c r="N208" s="7"/>
    </row>
    <row r="209">
      <c r="A209" s="8"/>
      <c r="I209" s="7"/>
      <c r="J209" s="7"/>
      <c r="K209" s="7"/>
      <c r="L209" s="7"/>
      <c r="M209" s="7"/>
      <c r="N209" s="7"/>
    </row>
    <row r="210">
      <c r="A210" s="8"/>
      <c r="I210" s="7"/>
      <c r="J210" s="7"/>
      <c r="K210" s="7"/>
      <c r="L210" s="7"/>
      <c r="M210" s="7"/>
      <c r="N210" s="7"/>
    </row>
    <row r="211">
      <c r="A211" s="8"/>
      <c r="I211" s="7"/>
      <c r="J211" s="7"/>
      <c r="K211" s="7"/>
      <c r="L211" s="7"/>
      <c r="M211" s="7"/>
      <c r="N211" s="7"/>
    </row>
    <row r="212">
      <c r="A212" s="8"/>
      <c r="I212" s="7"/>
      <c r="J212" s="7"/>
      <c r="K212" s="7"/>
      <c r="L212" s="7"/>
      <c r="M212" s="7"/>
      <c r="N212" s="7"/>
    </row>
    <row r="213">
      <c r="A213" s="8"/>
      <c r="I213" s="7"/>
      <c r="J213" s="7"/>
      <c r="K213" s="7"/>
      <c r="L213" s="7"/>
      <c r="M213" s="7"/>
      <c r="N213" s="7"/>
    </row>
    <row r="214">
      <c r="A214" s="8"/>
      <c r="I214" s="7"/>
      <c r="J214" s="7"/>
      <c r="K214" s="7"/>
      <c r="L214" s="7"/>
      <c r="M214" s="7"/>
      <c r="N214" s="7"/>
    </row>
    <row r="215">
      <c r="A215" s="8"/>
      <c r="I215" s="7"/>
      <c r="J215" s="7"/>
      <c r="K215" s="7"/>
      <c r="L215" s="7"/>
      <c r="M215" s="7"/>
      <c r="N215" s="7"/>
    </row>
    <row r="216">
      <c r="A216" s="8"/>
      <c r="I216" s="7"/>
      <c r="J216" s="7"/>
      <c r="K216" s="7"/>
      <c r="L216" s="7"/>
      <c r="M216" s="7"/>
      <c r="N216" s="7"/>
    </row>
    <row r="217">
      <c r="A217" s="8"/>
      <c r="I217" s="7"/>
      <c r="J217" s="7"/>
      <c r="K217" s="7"/>
      <c r="L217" s="7"/>
      <c r="M217" s="7"/>
      <c r="N217" s="7"/>
    </row>
    <row r="218">
      <c r="A218" s="8"/>
      <c r="I218" s="7"/>
      <c r="J218" s="7"/>
      <c r="K218" s="7"/>
      <c r="L218" s="7"/>
      <c r="M218" s="7"/>
      <c r="N218" s="7"/>
    </row>
    <row r="219">
      <c r="A219" s="8"/>
      <c r="I219" s="7"/>
      <c r="J219" s="7"/>
      <c r="K219" s="7"/>
      <c r="L219" s="7"/>
      <c r="M219" s="7"/>
      <c r="N219" s="7"/>
    </row>
    <row r="220">
      <c r="A220" s="8"/>
      <c r="I220" s="7"/>
      <c r="J220" s="7"/>
      <c r="K220" s="7"/>
      <c r="L220" s="7"/>
      <c r="M220" s="7"/>
      <c r="N220" s="7"/>
    </row>
    <row r="221">
      <c r="A221" s="8"/>
      <c r="I221" s="7"/>
      <c r="J221" s="7"/>
      <c r="K221" s="7"/>
      <c r="L221" s="7"/>
      <c r="M221" s="7"/>
      <c r="N221" s="7"/>
    </row>
    <row r="222">
      <c r="A222" s="8"/>
      <c r="I222" s="7"/>
      <c r="J222" s="7"/>
      <c r="K222" s="7"/>
      <c r="L222" s="7"/>
      <c r="M222" s="7"/>
      <c r="N222" s="7"/>
    </row>
    <row r="223">
      <c r="A223" s="8"/>
      <c r="I223" s="7"/>
      <c r="J223" s="7"/>
      <c r="K223" s="7"/>
      <c r="L223" s="7"/>
      <c r="M223" s="7"/>
      <c r="N223" s="7"/>
    </row>
    <row r="224">
      <c r="A224" s="8"/>
      <c r="I224" s="7"/>
      <c r="J224" s="7"/>
      <c r="K224" s="7"/>
      <c r="L224" s="7"/>
      <c r="M224" s="7"/>
      <c r="N224" s="7"/>
    </row>
    <row r="225">
      <c r="A225" s="8"/>
      <c r="I225" s="7"/>
      <c r="J225" s="7"/>
      <c r="K225" s="7"/>
      <c r="L225" s="7"/>
      <c r="M225" s="7"/>
      <c r="N225" s="7"/>
    </row>
    <row r="226">
      <c r="A226" s="8"/>
      <c r="I226" s="7"/>
      <c r="J226" s="7"/>
      <c r="K226" s="7"/>
      <c r="L226" s="7"/>
      <c r="M226" s="7"/>
      <c r="N226" s="7"/>
    </row>
    <row r="227">
      <c r="A227" s="8"/>
      <c r="I227" s="7"/>
      <c r="J227" s="7"/>
      <c r="K227" s="7"/>
      <c r="L227" s="7"/>
      <c r="M227" s="7"/>
      <c r="N227" s="7"/>
    </row>
    <row r="228">
      <c r="A228" s="8"/>
      <c r="I228" s="7"/>
      <c r="J228" s="7"/>
      <c r="K228" s="7"/>
      <c r="L228" s="7"/>
      <c r="M228" s="7"/>
      <c r="N228" s="7"/>
    </row>
    <row r="229">
      <c r="A229" s="8"/>
      <c r="I229" s="7"/>
      <c r="J229" s="7"/>
      <c r="K229" s="7"/>
      <c r="L229" s="7"/>
      <c r="M229" s="7"/>
      <c r="N229" s="7"/>
    </row>
    <row r="230">
      <c r="A230" s="8"/>
      <c r="I230" s="7"/>
      <c r="J230" s="7"/>
      <c r="K230" s="7"/>
      <c r="L230" s="7"/>
      <c r="M230" s="7"/>
      <c r="N230" s="7"/>
    </row>
    <row r="231">
      <c r="A231" s="8"/>
      <c r="I231" s="7"/>
      <c r="J231" s="7"/>
      <c r="K231" s="7"/>
      <c r="L231" s="7"/>
      <c r="M231" s="7"/>
      <c r="N231" s="7"/>
    </row>
    <row r="232">
      <c r="A232" s="8"/>
      <c r="I232" s="7"/>
      <c r="J232" s="7"/>
      <c r="K232" s="7"/>
      <c r="L232" s="7"/>
      <c r="M232" s="7"/>
      <c r="N232" s="7"/>
    </row>
    <row r="233">
      <c r="A233" s="8"/>
      <c r="I233" s="7"/>
      <c r="J233" s="7"/>
      <c r="K233" s="7"/>
      <c r="L233" s="7"/>
      <c r="M233" s="7"/>
      <c r="N233" s="7"/>
    </row>
    <row r="234">
      <c r="A234" s="8"/>
      <c r="I234" s="7"/>
      <c r="J234" s="7"/>
      <c r="K234" s="7"/>
      <c r="L234" s="7"/>
      <c r="M234" s="7"/>
      <c r="N234" s="7"/>
    </row>
    <row r="235">
      <c r="A235" s="8"/>
      <c r="I235" s="7"/>
      <c r="J235" s="7"/>
      <c r="K235" s="7"/>
      <c r="L235" s="7"/>
      <c r="M235" s="7"/>
      <c r="N235" s="7"/>
    </row>
    <row r="236">
      <c r="A236" s="8"/>
      <c r="I236" s="7"/>
      <c r="J236" s="7"/>
      <c r="K236" s="7"/>
      <c r="L236" s="7"/>
      <c r="M236" s="7"/>
      <c r="N236" s="7"/>
    </row>
    <row r="237">
      <c r="A237" s="8"/>
      <c r="I237" s="7"/>
      <c r="J237" s="7"/>
      <c r="K237" s="7"/>
      <c r="L237" s="7"/>
      <c r="M237" s="7"/>
      <c r="N237" s="7"/>
    </row>
    <row r="238">
      <c r="A238" s="8"/>
      <c r="I238" s="7"/>
      <c r="J238" s="7"/>
      <c r="K238" s="7"/>
      <c r="L238" s="7"/>
      <c r="M238" s="7"/>
      <c r="N238" s="7"/>
    </row>
    <row r="239">
      <c r="A239" s="8"/>
      <c r="I239" s="7"/>
      <c r="J239" s="7"/>
      <c r="K239" s="7"/>
      <c r="L239" s="7"/>
      <c r="M239" s="7"/>
      <c r="N239" s="7"/>
    </row>
    <row r="240">
      <c r="A240" s="8"/>
      <c r="I240" s="7"/>
      <c r="J240" s="7"/>
      <c r="K240" s="7"/>
      <c r="L240" s="7"/>
      <c r="M240" s="7"/>
      <c r="N240" s="7"/>
    </row>
    <row r="241">
      <c r="A241" s="8"/>
      <c r="I241" s="7"/>
      <c r="J241" s="7"/>
      <c r="K241" s="7"/>
      <c r="L241" s="7"/>
      <c r="M241" s="7"/>
      <c r="N241" s="7"/>
    </row>
    <row r="242">
      <c r="A242" s="8"/>
      <c r="I242" s="7"/>
      <c r="J242" s="7"/>
      <c r="K242" s="7"/>
      <c r="L242" s="7"/>
      <c r="M242" s="7"/>
      <c r="N242" s="7"/>
    </row>
    <row r="243">
      <c r="A243" s="8"/>
      <c r="I243" s="7"/>
      <c r="J243" s="7"/>
      <c r="K243" s="7"/>
      <c r="L243" s="7"/>
      <c r="M243" s="7"/>
      <c r="N243" s="7"/>
    </row>
    <row r="244">
      <c r="A244" s="8"/>
      <c r="I244" s="7"/>
      <c r="J244" s="7"/>
      <c r="K244" s="7"/>
      <c r="L244" s="7"/>
      <c r="M244" s="7"/>
      <c r="N244" s="7"/>
    </row>
    <row r="245">
      <c r="A245" s="8"/>
      <c r="I245" s="7"/>
      <c r="J245" s="7"/>
      <c r="K245" s="7"/>
      <c r="L245" s="7"/>
      <c r="M245" s="7"/>
      <c r="N245" s="7"/>
    </row>
    <row r="246">
      <c r="A246" s="8"/>
      <c r="I246" s="7"/>
      <c r="J246" s="7"/>
      <c r="K246" s="7"/>
      <c r="L246" s="7"/>
      <c r="M246" s="7"/>
      <c r="N246" s="7"/>
    </row>
    <row r="247">
      <c r="A247" s="8"/>
      <c r="I247" s="7"/>
      <c r="J247" s="7"/>
      <c r="K247" s="7"/>
      <c r="L247" s="7"/>
      <c r="M247" s="7"/>
      <c r="N247" s="7"/>
    </row>
    <row r="248">
      <c r="A248" s="8"/>
      <c r="I248" s="7"/>
      <c r="J248" s="7"/>
      <c r="K248" s="7"/>
      <c r="L248" s="7"/>
      <c r="M248" s="7"/>
      <c r="N248" s="7"/>
    </row>
    <row r="249">
      <c r="A249" s="8"/>
      <c r="I249" s="7"/>
      <c r="J249" s="7"/>
      <c r="K249" s="7"/>
      <c r="L249" s="7"/>
      <c r="M249" s="7"/>
      <c r="N249" s="7"/>
    </row>
    <row r="250">
      <c r="A250" s="8"/>
      <c r="I250" s="7"/>
      <c r="J250" s="7"/>
      <c r="K250" s="7"/>
      <c r="L250" s="7"/>
      <c r="M250" s="7"/>
      <c r="N250" s="7"/>
    </row>
    <row r="251">
      <c r="A251" s="8"/>
      <c r="I251" s="7"/>
      <c r="J251" s="7"/>
      <c r="K251" s="7"/>
      <c r="L251" s="7"/>
      <c r="M251" s="7"/>
      <c r="N251" s="7"/>
    </row>
    <row r="252">
      <c r="A252" s="8"/>
      <c r="I252" s="7"/>
      <c r="J252" s="7"/>
      <c r="K252" s="7"/>
      <c r="L252" s="7"/>
      <c r="M252" s="7"/>
      <c r="N252" s="7"/>
    </row>
    <row r="253">
      <c r="A253" s="8"/>
      <c r="I253" s="7"/>
      <c r="J253" s="7"/>
      <c r="K253" s="7"/>
      <c r="L253" s="7"/>
      <c r="M253" s="7"/>
      <c r="N253" s="7"/>
    </row>
    <row r="254">
      <c r="A254" s="8"/>
      <c r="I254" s="7"/>
      <c r="J254" s="7"/>
      <c r="K254" s="7"/>
      <c r="L254" s="7"/>
      <c r="M254" s="7"/>
      <c r="N254" s="7"/>
    </row>
    <row r="255">
      <c r="A255" s="8"/>
      <c r="I255" s="7"/>
      <c r="J255" s="7"/>
      <c r="K255" s="7"/>
      <c r="L255" s="7"/>
      <c r="M255" s="7"/>
      <c r="N255" s="7"/>
    </row>
    <row r="256">
      <c r="A256" s="8"/>
      <c r="I256" s="7"/>
      <c r="J256" s="7"/>
      <c r="K256" s="7"/>
      <c r="L256" s="7"/>
      <c r="M256" s="7"/>
      <c r="N256" s="7"/>
    </row>
    <row r="257">
      <c r="A257" s="8"/>
      <c r="I257" s="7"/>
      <c r="J257" s="7"/>
      <c r="K257" s="7"/>
      <c r="L257" s="7"/>
      <c r="M257" s="7"/>
      <c r="N257" s="7"/>
    </row>
    <row r="258">
      <c r="A258" s="8"/>
      <c r="I258" s="7"/>
      <c r="J258" s="7"/>
      <c r="K258" s="7"/>
      <c r="L258" s="7"/>
      <c r="M258" s="7"/>
      <c r="N258" s="7"/>
    </row>
    <row r="259">
      <c r="A259" s="8"/>
      <c r="I259" s="7"/>
      <c r="J259" s="7"/>
      <c r="K259" s="7"/>
      <c r="L259" s="7"/>
      <c r="M259" s="7"/>
      <c r="N259" s="7"/>
    </row>
    <row r="260">
      <c r="A260" s="8"/>
      <c r="I260" s="7"/>
      <c r="J260" s="7"/>
      <c r="K260" s="7"/>
      <c r="L260" s="7"/>
      <c r="M260" s="7"/>
      <c r="N260" s="7"/>
    </row>
    <row r="261">
      <c r="A261" s="8"/>
      <c r="I261" s="7"/>
      <c r="J261" s="7"/>
      <c r="K261" s="7"/>
      <c r="L261" s="7"/>
      <c r="M261" s="7"/>
      <c r="N261" s="7"/>
    </row>
    <row r="262">
      <c r="A262" s="8"/>
      <c r="I262" s="7"/>
      <c r="J262" s="7"/>
      <c r="K262" s="7"/>
      <c r="L262" s="7"/>
      <c r="M262" s="7"/>
      <c r="N262" s="7"/>
    </row>
    <row r="263">
      <c r="A263" s="8"/>
      <c r="I263" s="7"/>
      <c r="J263" s="7"/>
      <c r="K263" s="7"/>
      <c r="L263" s="7"/>
      <c r="M263" s="7"/>
      <c r="N263" s="7"/>
    </row>
    <row r="264">
      <c r="A264" s="8"/>
      <c r="I264" s="7"/>
      <c r="J264" s="7"/>
      <c r="K264" s="7"/>
      <c r="L264" s="7"/>
      <c r="M264" s="7"/>
      <c r="N264" s="7"/>
    </row>
    <row r="265">
      <c r="A265" s="8"/>
      <c r="I265" s="7"/>
      <c r="J265" s="7"/>
      <c r="K265" s="7"/>
      <c r="L265" s="7"/>
      <c r="M265" s="7"/>
      <c r="N265" s="7"/>
    </row>
    <row r="266">
      <c r="A266" s="8"/>
      <c r="I266" s="7"/>
      <c r="J266" s="7"/>
      <c r="K266" s="7"/>
      <c r="L266" s="7"/>
      <c r="M266" s="7"/>
      <c r="N266" s="7"/>
    </row>
    <row r="267">
      <c r="A267" s="8"/>
      <c r="I267" s="7"/>
      <c r="J267" s="7"/>
      <c r="K267" s="7"/>
      <c r="L267" s="7"/>
      <c r="M267" s="7"/>
      <c r="N267" s="7"/>
    </row>
    <row r="268">
      <c r="A268" s="8"/>
      <c r="I268" s="7"/>
      <c r="J268" s="7"/>
      <c r="K268" s="7"/>
      <c r="L268" s="7"/>
      <c r="M268" s="7"/>
      <c r="N268" s="7"/>
    </row>
    <row r="269">
      <c r="A269" s="8"/>
      <c r="I269" s="7"/>
      <c r="J269" s="7"/>
      <c r="K269" s="7"/>
      <c r="L269" s="7"/>
      <c r="M269" s="7"/>
      <c r="N269" s="7"/>
    </row>
    <row r="270">
      <c r="A270" s="8"/>
      <c r="I270" s="7"/>
      <c r="J270" s="7"/>
      <c r="K270" s="7"/>
      <c r="L270" s="7"/>
      <c r="M270" s="7"/>
      <c r="N270" s="7"/>
    </row>
    <row r="271">
      <c r="A271" s="8"/>
      <c r="I271" s="7"/>
      <c r="J271" s="7"/>
      <c r="K271" s="7"/>
      <c r="L271" s="7"/>
      <c r="M271" s="7"/>
      <c r="N271" s="7"/>
    </row>
    <row r="272">
      <c r="A272" s="8"/>
      <c r="I272" s="7"/>
      <c r="J272" s="7"/>
      <c r="K272" s="7"/>
      <c r="L272" s="7"/>
      <c r="M272" s="7"/>
      <c r="N272" s="7"/>
    </row>
    <row r="273">
      <c r="A273" s="8"/>
      <c r="I273" s="7"/>
      <c r="J273" s="7"/>
      <c r="K273" s="7"/>
      <c r="L273" s="7"/>
      <c r="M273" s="7"/>
      <c r="N273" s="7"/>
    </row>
    <row r="274">
      <c r="A274" s="8"/>
      <c r="I274" s="7"/>
      <c r="J274" s="7"/>
      <c r="K274" s="7"/>
      <c r="L274" s="7"/>
      <c r="M274" s="7"/>
      <c r="N274" s="7"/>
    </row>
    <row r="275">
      <c r="A275" s="8"/>
      <c r="I275" s="7"/>
      <c r="J275" s="7"/>
      <c r="K275" s="7"/>
      <c r="L275" s="7"/>
      <c r="M275" s="7"/>
      <c r="N275" s="7"/>
    </row>
    <row r="276">
      <c r="A276" s="8"/>
      <c r="I276" s="7"/>
      <c r="J276" s="7"/>
      <c r="K276" s="7"/>
      <c r="L276" s="7"/>
      <c r="M276" s="7"/>
      <c r="N276" s="7"/>
    </row>
    <row r="277">
      <c r="A277" s="8"/>
      <c r="I277" s="7"/>
      <c r="J277" s="7"/>
      <c r="K277" s="7"/>
      <c r="L277" s="7"/>
      <c r="M277" s="7"/>
      <c r="N277" s="7"/>
    </row>
    <row r="278">
      <c r="A278" s="8"/>
      <c r="I278" s="7"/>
      <c r="J278" s="7"/>
      <c r="K278" s="7"/>
      <c r="L278" s="7"/>
      <c r="M278" s="7"/>
      <c r="N278" s="7"/>
    </row>
    <row r="279">
      <c r="A279" s="8"/>
      <c r="I279" s="7"/>
      <c r="J279" s="7"/>
      <c r="K279" s="7"/>
      <c r="L279" s="7"/>
      <c r="M279" s="7"/>
      <c r="N279" s="7"/>
    </row>
    <row r="280">
      <c r="A280" s="8"/>
      <c r="I280" s="7"/>
      <c r="J280" s="7"/>
      <c r="K280" s="7"/>
      <c r="L280" s="7"/>
      <c r="M280" s="7"/>
      <c r="N280" s="7"/>
    </row>
    <row r="281">
      <c r="A281" s="8"/>
      <c r="I281" s="7"/>
      <c r="J281" s="7"/>
      <c r="K281" s="7"/>
      <c r="L281" s="7"/>
      <c r="M281" s="7"/>
      <c r="N281" s="7"/>
    </row>
    <row r="282">
      <c r="A282" s="8"/>
      <c r="I282" s="7"/>
      <c r="J282" s="7"/>
      <c r="K282" s="7"/>
      <c r="L282" s="7"/>
      <c r="M282" s="7"/>
      <c r="N282" s="7"/>
    </row>
    <row r="283">
      <c r="A283" s="8"/>
      <c r="I283" s="7"/>
      <c r="J283" s="7"/>
      <c r="K283" s="7"/>
      <c r="L283" s="7"/>
      <c r="M283" s="7"/>
      <c r="N283" s="7"/>
    </row>
    <row r="284">
      <c r="A284" s="8"/>
      <c r="I284" s="7"/>
      <c r="J284" s="7"/>
      <c r="K284" s="7"/>
      <c r="L284" s="7"/>
      <c r="M284" s="7"/>
      <c r="N284" s="7"/>
    </row>
    <row r="285">
      <c r="A285" s="8"/>
      <c r="I285" s="7"/>
      <c r="J285" s="7"/>
      <c r="K285" s="7"/>
      <c r="L285" s="7"/>
      <c r="M285" s="7"/>
      <c r="N285" s="7"/>
    </row>
    <row r="286">
      <c r="A286" s="8"/>
      <c r="I286" s="7"/>
      <c r="J286" s="7"/>
      <c r="K286" s="7"/>
      <c r="L286" s="7"/>
      <c r="M286" s="7"/>
      <c r="N286" s="7"/>
    </row>
    <row r="287">
      <c r="A287" s="8"/>
      <c r="I287" s="7"/>
      <c r="J287" s="7"/>
      <c r="K287" s="7"/>
      <c r="L287" s="7"/>
      <c r="M287" s="7"/>
      <c r="N287" s="7"/>
    </row>
    <row r="288">
      <c r="A288" s="8"/>
      <c r="I288" s="7"/>
      <c r="J288" s="7"/>
      <c r="K288" s="7"/>
      <c r="L288" s="7"/>
      <c r="M288" s="7"/>
      <c r="N288" s="7"/>
    </row>
    <row r="289">
      <c r="A289" s="8"/>
      <c r="I289" s="7"/>
      <c r="J289" s="7"/>
      <c r="K289" s="7"/>
      <c r="L289" s="7"/>
      <c r="M289" s="7"/>
      <c r="N289" s="7"/>
    </row>
    <row r="290">
      <c r="A290" s="8"/>
      <c r="I290" s="7"/>
      <c r="J290" s="7"/>
      <c r="K290" s="7"/>
      <c r="L290" s="7"/>
      <c r="M290" s="7"/>
      <c r="N290" s="7"/>
    </row>
    <row r="291">
      <c r="A291" s="8"/>
      <c r="I291" s="7"/>
      <c r="J291" s="7"/>
      <c r="K291" s="7"/>
      <c r="L291" s="7"/>
      <c r="M291" s="7"/>
      <c r="N291" s="7"/>
    </row>
    <row r="292">
      <c r="A292" s="8"/>
      <c r="I292" s="7"/>
      <c r="J292" s="7"/>
      <c r="K292" s="7"/>
      <c r="L292" s="7"/>
      <c r="M292" s="7"/>
      <c r="N292" s="7"/>
    </row>
    <row r="293">
      <c r="A293" s="8"/>
      <c r="I293" s="7"/>
      <c r="J293" s="7"/>
      <c r="K293" s="7"/>
      <c r="L293" s="7"/>
      <c r="M293" s="7"/>
      <c r="N293" s="7"/>
    </row>
    <row r="294">
      <c r="A294" s="8"/>
      <c r="I294" s="7"/>
      <c r="J294" s="7"/>
      <c r="K294" s="7"/>
      <c r="L294" s="7"/>
      <c r="M294" s="7"/>
      <c r="N294" s="7"/>
    </row>
    <row r="295">
      <c r="A295" s="8"/>
      <c r="I295" s="7"/>
      <c r="J295" s="7"/>
      <c r="K295" s="7"/>
      <c r="L295" s="7"/>
      <c r="M295" s="7"/>
      <c r="N295" s="7"/>
    </row>
    <row r="296">
      <c r="A296" s="8"/>
      <c r="I296" s="7"/>
      <c r="J296" s="7"/>
      <c r="K296" s="7"/>
      <c r="L296" s="7"/>
      <c r="M296" s="7"/>
      <c r="N296" s="7"/>
    </row>
    <row r="297">
      <c r="A297" s="8"/>
      <c r="I297" s="7"/>
      <c r="J297" s="7"/>
      <c r="K297" s="7"/>
      <c r="L297" s="7"/>
      <c r="M297" s="7"/>
      <c r="N297" s="7"/>
    </row>
    <row r="298">
      <c r="A298" s="8"/>
      <c r="I298" s="7"/>
      <c r="J298" s="7"/>
      <c r="K298" s="7"/>
      <c r="L298" s="7"/>
      <c r="M298" s="7"/>
      <c r="N298" s="7"/>
    </row>
    <row r="299">
      <c r="A299" s="8"/>
      <c r="I299" s="7"/>
      <c r="J299" s="7"/>
      <c r="K299" s="7"/>
      <c r="L299" s="7"/>
      <c r="M299" s="7"/>
      <c r="N299" s="7"/>
    </row>
    <row r="300">
      <c r="A300" s="8"/>
      <c r="I300" s="7"/>
      <c r="J300" s="7"/>
      <c r="K300" s="7"/>
      <c r="L300" s="7"/>
      <c r="M300" s="7"/>
      <c r="N300" s="7"/>
    </row>
    <row r="301">
      <c r="A301" s="8"/>
      <c r="I301" s="7"/>
      <c r="J301" s="7"/>
      <c r="K301" s="7"/>
      <c r="L301" s="7"/>
      <c r="M301" s="7"/>
      <c r="N301" s="7"/>
    </row>
    <row r="302">
      <c r="A302" s="8"/>
      <c r="I302" s="7"/>
      <c r="J302" s="7"/>
      <c r="K302" s="7"/>
      <c r="L302" s="7"/>
      <c r="M302" s="7"/>
      <c r="N302" s="7"/>
    </row>
    <row r="303">
      <c r="A303" s="8"/>
      <c r="I303" s="7"/>
      <c r="J303" s="7"/>
      <c r="K303" s="7"/>
      <c r="L303" s="7"/>
      <c r="M303" s="7"/>
      <c r="N303" s="7"/>
    </row>
    <row r="304">
      <c r="A304" s="8"/>
      <c r="I304" s="7"/>
      <c r="J304" s="7"/>
      <c r="K304" s="7"/>
      <c r="L304" s="7"/>
      <c r="M304" s="7"/>
      <c r="N304" s="7"/>
    </row>
    <row r="305">
      <c r="A305" s="8"/>
      <c r="I305" s="7"/>
      <c r="J305" s="7"/>
      <c r="K305" s="7"/>
      <c r="L305" s="7"/>
      <c r="M305" s="7"/>
      <c r="N305" s="7"/>
    </row>
    <row r="306">
      <c r="A306" s="8"/>
      <c r="I306" s="7"/>
      <c r="J306" s="7"/>
      <c r="K306" s="7"/>
      <c r="L306" s="7"/>
      <c r="M306" s="7"/>
      <c r="N306" s="7"/>
    </row>
    <row r="307">
      <c r="A307" s="8"/>
      <c r="I307" s="7"/>
      <c r="J307" s="7"/>
      <c r="K307" s="7"/>
      <c r="L307" s="7"/>
      <c r="M307" s="7"/>
      <c r="N307" s="7"/>
    </row>
    <row r="308">
      <c r="A308" s="8"/>
      <c r="I308" s="7"/>
      <c r="J308" s="7"/>
      <c r="K308" s="7"/>
      <c r="L308" s="7"/>
      <c r="M308" s="7"/>
      <c r="N308" s="7"/>
    </row>
    <row r="309">
      <c r="A309" s="8"/>
      <c r="I309" s="7"/>
      <c r="J309" s="7"/>
      <c r="K309" s="7"/>
      <c r="L309" s="7"/>
      <c r="M309" s="7"/>
      <c r="N309" s="7"/>
    </row>
    <row r="310">
      <c r="A310" s="8"/>
      <c r="I310" s="7"/>
      <c r="J310" s="7"/>
      <c r="K310" s="7"/>
      <c r="L310" s="7"/>
      <c r="M310" s="7"/>
      <c r="N310" s="7"/>
    </row>
    <row r="311">
      <c r="A311" s="8"/>
      <c r="I311" s="7"/>
      <c r="J311" s="7"/>
      <c r="K311" s="7"/>
      <c r="L311" s="7"/>
      <c r="M311" s="7"/>
      <c r="N311" s="7"/>
    </row>
    <row r="312">
      <c r="A312" s="8"/>
      <c r="I312" s="7"/>
      <c r="J312" s="7"/>
      <c r="K312" s="7"/>
      <c r="L312" s="7"/>
      <c r="M312" s="7"/>
      <c r="N312" s="7"/>
    </row>
    <row r="313">
      <c r="A313" s="8"/>
      <c r="I313" s="7"/>
      <c r="J313" s="7"/>
      <c r="K313" s="7"/>
      <c r="L313" s="7"/>
      <c r="M313" s="7"/>
      <c r="N313" s="7"/>
    </row>
    <row r="314">
      <c r="A314" s="8"/>
      <c r="I314" s="7"/>
      <c r="J314" s="7"/>
      <c r="K314" s="7"/>
      <c r="L314" s="7"/>
      <c r="M314" s="7"/>
      <c r="N314" s="7"/>
    </row>
    <row r="315">
      <c r="A315" s="8"/>
      <c r="I315" s="7"/>
      <c r="J315" s="7"/>
      <c r="K315" s="7"/>
      <c r="L315" s="7"/>
      <c r="M315" s="7"/>
      <c r="N315" s="7"/>
    </row>
    <row r="316">
      <c r="A316" s="8"/>
      <c r="I316" s="7"/>
      <c r="J316" s="7"/>
      <c r="K316" s="7"/>
      <c r="L316" s="7"/>
      <c r="M316" s="7"/>
      <c r="N316" s="7"/>
    </row>
    <row r="317">
      <c r="A317" s="8"/>
      <c r="I317" s="7"/>
      <c r="J317" s="7"/>
      <c r="K317" s="7"/>
      <c r="L317" s="7"/>
      <c r="M317" s="7"/>
      <c r="N317" s="7"/>
    </row>
    <row r="318">
      <c r="A318" s="8"/>
      <c r="I318" s="7"/>
      <c r="J318" s="7"/>
      <c r="K318" s="7"/>
      <c r="L318" s="7"/>
      <c r="M318" s="7"/>
      <c r="N318" s="7"/>
    </row>
    <row r="319">
      <c r="A319" s="8"/>
      <c r="I319" s="7"/>
      <c r="J319" s="7"/>
      <c r="K319" s="7"/>
      <c r="L319" s="7"/>
      <c r="M319" s="7"/>
      <c r="N319" s="7"/>
    </row>
    <row r="320">
      <c r="A320" s="8"/>
      <c r="I320" s="7"/>
      <c r="J320" s="7"/>
      <c r="K320" s="7"/>
      <c r="L320" s="7"/>
      <c r="M320" s="7"/>
      <c r="N320" s="7"/>
    </row>
    <row r="321">
      <c r="A321" s="8"/>
      <c r="I321" s="7"/>
      <c r="J321" s="7"/>
      <c r="K321" s="7"/>
      <c r="L321" s="7"/>
      <c r="M321" s="7"/>
      <c r="N321" s="7"/>
    </row>
    <row r="322">
      <c r="A322" s="8"/>
      <c r="I322" s="7"/>
      <c r="J322" s="7"/>
      <c r="K322" s="7"/>
      <c r="L322" s="7"/>
      <c r="M322" s="7"/>
      <c r="N322" s="7"/>
    </row>
    <row r="323">
      <c r="A323" s="8"/>
      <c r="I323" s="7"/>
      <c r="J323" s="7"/>
      <c r="K323" s="7"/>
      <c r="L323" s="7"/>
      <c r="M323" s="7"/>
      <c r="N323" s="7"/>
    </row>
    <row r="324">
      <c r="A324" s="8"/>
      <c r="I324" s="7"/>
      <c r="J324" s="7"/>
      <c r="K324" s="7"/>
      <c r="L324" s="7"/>
      <c r="M324" s="7"/>
      <c r="N324" s="7"/>
    </row>
    <row r="325">
      <c r="A325" s="8"/>
      <c r="I325" s="7"/>
      <c r="J325" s="7"/>
      <c r="K325" s="7"/>
      <c r="L325" s="7"/>
      <c r="M325" s="7"/>
      <c r="N325" s="7"/>
    </row>
    <row r="326">
      <c r="A326" s="8"/>
      <c r="I326" s="7"/>
      <c r="J326" s="7"/>
      <c r="K326" s="7"/>
      <c r="L326" s="7"/>
      <c r="M326" s="7"/>
      <c r="N326" s="7"/>
    </row>
    <row r="327">
      <c r="A327" s="8"/>
      <c r="I327" s="7"/>
      <c r="J327" s="7"/>
      <c r="K327" s="7"/>
      <c r="L327" s="7"/>
      <c r="M327" s="7"/>
      <c r="N327" s="7"/>
    </row>
    <row r="328">
      <c r="A328" s="8"/>
      <c r="I328" s="7"/>
      <c r="J328" s="7"/>
      <c r="K328" s="7"/>
      <c r="L328" s="7"/>
      <c r="M328" s="7"/>
      <c r="N328" s="7"/>
    </row>
    <row r="329">
      <c r="A329" s="8"/>
      <c r="I329" s="7"/>
      <c r="J329" s="7"/>
      <c r="K329" s="7"/>
      <c r="L329" s="7"/>
      <c r="M329" s="7"/>
      <c r="N329" s="7"/>
    </row>
    <row r="330">
      <c r="A330" s="8"/>
      <c r="I330" s="7"/>
      <c r="J330" s="7"/>
      <c r="K330" s="7"/>
      <c r="L330" s="7"/>
      <c r="M330" s="7"/>
      <c r="N330" s="7"/>
    </row>
    <row r="331">
      <c r="A331" s="8"/>
      <c r="I331" s="7"/>
      <c r="J331" s="7"/>
      <c r="K331" s="7"/>
      <c r="L331" s="7"/>
      <c r="M331" s="7"/>
      <c r="N331" s="7"/>
    </row>
    <row r="332">
      <c r="A332" s="8"/>
      <c r="I332" s="7"/>
      <c r="J332" s="7"/>
      <c r="K332" s="7"/>
      <c r="L332" s="7"/>
      <c r="M332" s="7"/>
      <c r="N332" s="7"/>
    </row>
    <row r="333">
      <c r="A333" s="8"/>
      <c r="I333" s="7"/>
      <c r="J333" s="7"/>
      <c r="K333" s="7"/>
      <c r="L333" s="7"/>
      <c r="M333" s="7"/>
      <c r="N333" s="7"/>
    </row>
    <row r="334">
      <c r="A334" s="8"/>
      <c r="I334" s="7"/>
      <c r="J334" s="7"/>
      <c r="K334" s="7"/>
      <c r="L334" s="7"/>
      <c r="M334" s="7"/>
      <c r="N334" s="7"/>
    </row>
    <row r="335">
      <c r="A335" s="8"/>
      <c r="I335" s="7"/>
      <c r="J335" s="7"/>
      <c r="K335" s="7"/>
      <c r="L335" s="7"/>
      <c r="M335" s="7"/>
      <c r="N335" s="7"/>
    </row>
    <row r="336">
      <c r="A336" s="8"/>
      <c r="I336" s="7"/>
      <c r="J336" s="7"/>
      <c r="K336" s="7"/>
      <c r="L336" s="7"/>
      <c r="M336" s="7"/>
      <c r="N336" s="7"/>
    </row>
    <row r="337">
      <c r="A337" s="8"/>
      <c r="I337" s="7"/>
      <c r="J337" s="7"/>
      <c r="K337" s="7"/>
      <c r="L337" s="7"/>
      <c r="M337" s="7"/>
      <c r="N337" s="7"/>
    </row>
    <row r="338">
      <c r="A338" s="8"/>
      <c r="I338" s="7"/>
      <c r="J338" s="7"/>
      <c r="K338" s="7"/>
      <c r="L338" s="7"/>
      <c r="M338" s="7"/>
      <c r="N338" s="7"/>
    </row>
    <row r="339">
      <c r="A339" s="8"/>
      <c r="I339" s="7"/>
      <c r="J339" s="7"/>
      <c r="K339" s="7"/>
      <c r="L339" s="7"/>
      <c r="M339" s="7"/>
      <c r="N339" s="7"/>
    </row>
    <row r="340">
      <c r="A340" s="8"/>
      <c r="I340" s="7"/>
      <c r="J340" s="7"/>
      <c r="K340" s="7"/>
      <c r="L340" s="7"/>
      <c r="M340" s="7"/>
      <c r="N340" s="7"/>
    </row>
    <row r="341">
      <c r="A341" s="8"/>
      <c r="I341" s="7"/>
      <c r="J341" s="7"/>
      <c r="K341" s="7"/>
      <c r="L341" s="7"/>
      <c r="M341" s="7"/>
      <c r="N341" s="7"/>
    </row>
    <row r="342">
      <c r="A342" s="8"/>
      <c r="I342" s="7"/>
      <c r="J342" s="7"/>
      <c r="K342" s="7"/>
      <c r="L342" s="7"/>
      <c r="M342" s="7"/>
      <c r="N342" s="7"/>
    </row>
    <row r="343">
      <c r="A343" s="8"/>
      <c r="I343" s="7"/>
      <c r="J343" s="7"/>
      <c r="K343" s="7"/>
      <c r="L343" s="7"/>
      <c r="M343" s="7"/>
      <c r="N343" s="7"/>
    </row>
    <row r="344">
      <c r="A344" s="8"/>
      <c r="I344" s="7"/>
      <c r="J344" s="7"/>
      <c r="K344" s="7"/>
      <c r="L344" s="7"/>
      <c r="M344" s="7"/>
      <c r="N344" s="7"/>
    </row>
    <row r="345">
      <c r="A345" s="8"/>
      <c r="I345" s="7"/>
      <c r="J345" s="7"/>
      <c r="K345" s="7"/>
      <c r="L345" s="7"/>
      <c r="M345" s="7"/>
      <c r="N345" s="7"/>
    </row>
    <row r="346">
      <c r="A346" s="8"/>
      <c r="I346" s="7"/>
      <c r="J346" s="7"/>
      <c r="K346" s="7"/>
      <c r="L346" s="7"/>
      <c r="M346" s="7"/>
      <c r="N346" s="7"/>
    </row>
    <row r="347">
      <c r="A347" s="8"/>
      <c r="I347" s="7"/>
      <c r="J347" s="7"/>
      <c r="K347" s="7"/>
      <c r="L347" s="7"/>
      <c r="M347" s="7"/>
      <c r="N347" s="7"/>
    </row>
    <row r="348">
      <c r="A348" s="8"/>
      <c r="I348" s="7"/>
      <c r="J348" s="7"/>
      <c r="K348" s="7"/>
      <c r="L348" s="7"/>
      <c r="M348" s="7"/>
      <c r="N348" s="7"/>
    </row>
    <row r="349">
      <c r="A349" s="8"/>
      <c r="I349" s="7"/>
      <c r="J349" s="7"/>
      <c r="K349" s="7"/>
      <c r="L349" s="7"/>
      <c r="M349" s="7"/>
      <c r="N349" s="7"/>
    </row>
    <row r="350">
      <c r="A350" s="8"/>
      <c r="I350" s="7"/>
      <c r="J350" s="7"/>
      <c r="K350" s="7"/>
      <c r="L350" s="7"/>
      <c r="M350" s="7"/>
      <c r="N350" s="7"/>
    </row>
    <row r="351">
      <c r="A351" s="8"/>
      <c r="I351" s="7"/>
      <c r="J351" s="7"/>
      <c r="K351" s="7"/>
      <c r="L351" s="7"/>
      <c r="M351" s="7"/>
      <c r="N351" s="7"/>
    </row>
    <row r="352">
      <c r="A352" s="8"/>
      <c r="I352" s="7"/>
      <c r="J352" s="7"/>
      <c r="K352" s="7"/>
      <c r="L352" s="7"/>
      <c r="M352" s="7"/>
      <c r="N352" s="7"/>
    </row>
    <row r="353">
      <c r="A353" s="8"/>
      <c r="I353" s="7"/>
      <c r="J353" s="7"/>
      <c r="K353" s="7"/>
      <c r="L353" s="7"/>
      <c r="M353" s="7"/>
      <c r="N353" s="7"/>
    </row>
    <row r="354">
      <c r="A354" s="8"/>
      <c r="I354" s="7"/>
      <c r="J354" s="7"/>
      <c r="K354" s="7"/>
      <c r="L354" s="7"/>
      <c r="M354" s="7"/>
      <c r="N354" s="7"/>
    </row>
    <row r="355">
      <c r="A355" s="8"/>
      <c r="I355" s="7"/>
      <c r="J355" s="7"/>
      <c r="K355" s="7"/>
      <c r="L355" s="7"/>
      <c r="M355" s="7"/>
      <c r="N355" s="7"/>
    </row>
    <row r="356">
      <c r="A356" s="8"/>
      <c r="I356" s="7"/>
      <c r="J356" s="7"/>
      <c r="K356" s="7"/>
      <c r="L356" s="7"/>
      <c r="M356" s="7"/>
      <c r="N356" s="7"/>
    </row>
    <row r="357">
      <c r="A357" s="8"/>
      <c r="I357" s="7"/>
      <c r="J357" s="7"/>
      <c r="K357" s="7"/>
      <c r="L357" s="7"/>
      <c r="M357" s="7"/>
      <c r="N357" s="7"/>
    </row>
    <row r="358">
      <c r="A358" s="8"/>
      <c r="I358" s="7"/>
      <c r="J358" s="7"/>
      <c r="K358" s="7"/>
      <c r="L358" s="7"/>
      <c r="M358" s="7"/>
      <c r="N358" s="7"/>
    </row>
    <row r="359">
      <c r="A359" s="8"/>
      <c r="I359" s="7"/>
      <c r="J359" s="7"/>
      <c r="K359" s="7"/>
      <c r="L359" s="7"/>
      <c r="M359" s="7"/>
      <c r="N359" s="7"/>
    </row>
    <row r="360">
      <c r="A360" s="8"/>
      <c r="I360" s="7"/>
      <c r="J360" s="7"/>
      <c r="K360" s="7"/>
      <c r="L360" s="7"/>
      <c r="M360" s="7"/>
      <c r="N360" s="7"/>
    </row>
    <row r="361">
      <c r="A361" s="8"/>
      <c r="I361" s="7"/>
      <c r="J361" s="7"/>
      <c r="K361" s="7"/>
      <c r="L361" s="7"/>
      <c r="M361" s="7"/>
      <c r="N361" s="7"/>
    </row>
    <row r="362">
      <c r="A362" s="8"/>
      <c r="I362" s="7"/>
      <c r="J362" s="7"/>
      <c r="K362" s="7"/>
      <c r="L362" s="7"/>
      <c r="M362" s="7"/>
      <c r="N362" s="7"/>
    </row>
    <row r="363">
      <c r="A363" s="8"/>
      <c r="I363" s="7"/>
      <c r="J363" s="7"/>
      <c r="K363" s="7"/>
      <c r="L363" s="7"/>
      <c r="M363" s="7"/>
      <c r="N363" s="7"/>
    </row>
    <row r="364">
      <c r="A364" s="8"/>
      <c r="I364" s="7"/>
      <c r="J364" s="7"/>
      <c r="K364" s="7"/>
      <c r="L364" s="7"/>
      <c r="M364" s="7"/>
      <c r="N364" s="7"/>
    </row>
    <row r="365">
      <c r="A365" s="8"/>
      <c r="I365" s="7"/>
      <c r="J365" s="7"/>
      <c r="K365" s="7"/>
      <c r="L365" s="7"/>
      <c r="M365" s="7"/>
      <c r="N365" s="7"/>
    </row>
    <row r="366">
      <c r="A366" s="8"/>
      <c r="I366" s="7"/>
      <c r="J366" s="7"/>
      <c r="K366" s="7"/>
      <c r="L366" s="7"/>
      <c r="M366" s="7"/>
      <c r="N366" s="7"/>
    </row>
    <row r="367">
      <c r="A367" s="8"/>
      <c r="I367" s="7"/>
      <c r="J367" s="7"/>
      <c r="K367" s="7"/>
      <c r="L367" s="7"/>
      <c r="M367" s="7"/>
      <c r="N367" s="7"/>
    </row>
    <row r="368">
      <c r="A368" s="8"/>
      <c r="I368" s="7"/>
      <c r="J368" s="7"/>
      <c r="K368" s="7"/>
      <c r="L368" s="7"/>
      <c r="M368" s="7"/>
      <c r="N368" s="7"/>
    </row>
    <row r="369">
      <c r="A369" s="8"/>
      <c r="I369" s="7"/>
      <c r="J369" s="7"/>
      <c r="K369" s="7"/>
      <c r="L369" s="7"/>
      <c r="M369" s="7"/>
      <c r="N369" s="7"/>
    </row>
    <row r="370">
      <c r="A370" s="8"/>
      <c r="I370" s="7"/>
      <c r="J370" s="7"/>
      <c r="K370" s="7"/>
      <c r="L370" s="7"/>
      <c r="M370" s="7"/>
      <c r="N370" s="7"/>
    </row>
    <row r="371">
      <c r="A371" s="8"/>
      <c r="I371" s="7"/>
      <c r="J371" s="7"/>
      <c r="K371" s="7"/>
      <c r="L371" s="7"/>
      <c r="M371" s="7"/>
      <c r="N371" s="7"/>
    </row>
    <row r="372">
      <c r="A372" s="8"/>
      <c r="I372" s="7"/>
      <c r="J372" s="7"/>
      <c r="K372" s="7"/>
      <c r="L372" s="7"/>
      <c r="M372" s="7"/>
      <c r="N372" s="7"/>
    </row>
    <row r="373">
      <c r="A373" s="8"/>
      <c r="I373" s="7"/>
      <c r="J373" s="7"/>
      <c r="K373" s="7"/>
      <c r="L373" s="7"/>
      <c r="M373" s="7"/>
      <c r="N373" s="7"/>
    </row>
    <row r="374">
      <c r="A374" s="8"/>
      <c r="I374" s="7"/>
      <c r="J374" s="7"/>
      <c r="K374" s="7"/>
      <c r="L374" s="7"/>
      <c r="M374" s="7"/>
      <c r="N374" s="7"/>
    </row>
    <row r="375">
      <c r="A375" s="8"/>
      <c r="I375" s="7"/>
      <c r="J375" s="7"/>
      <c r="K375" s="7"/>
      <c r="L375" s="7"/>
      <c r="M375" s="7"/>
      <c r="N375" s="7"/>
    </row>
    <row r="376">
      <c r="A376" s="8"/>
      <c r="I376" s="7"/>
      <c r="J376" s="7"/>
      <c r="K376" s="7"/>
      <c r="L376" s="7"/>
      <c r="M376" s="7"/>
      <c r="N376" s="7"/>
    </row>
    <row r="377">
      <c r="A377" s="8"/>
      <c r="I377" s="7"/>
      <c r="J377" s="7"/>
      <c r="K377" s="7"/>
      <c r="L377" s="7"/>
      <c r="M377" s="7"/>
      <c r="N377" s="7"/>
    </row>
    <row r="378">
      <c r="A378" s="8"/>
      <c r="I378" s="7"/>
      <c r="J378" s="7"/>
      <c r="K378" s="7"/>
      <c r="L378" s="7"/>
      <c r="M378" s="7"/>
      <c r="N378" s="7"/>
    </row>
    <row r="379">
      <c r="A379" s="8"/>
      <c r="I379" s="7"/>
      <c r="J379" s="7"/>
      <c r="K379" s="7"/>
      <c r="L379" s="7"/>
      <c r="M379" s="7"/>
      <c r="N379" s="7"/>
    </row>
    <row r="380">
      <c r="A380" s="8"/>
      <c r="I380" s="7"/>
      <c r="J380" s="7"/>
      <c r="K380" s="7"/>
      <c r="L380" s="7"/>
      <c r="M380" s="7"/>
      <c r="N380" s="7"/>
    </row>
    <row r="381">
      <c r="A381" s="8"/>
      <c r="I381" s="7"/>
      <c r="J381" s="7"/>
      <c r="K381" s="7"/>
      <c r="L381" s="7"/>
      <c r="M381" s="7"/>
      <c r="N381" s="7"/>
    </row>
    <row r="382">
      <c r="A382" s="8"/>
      <c r="I382" s="7"/>
      <c r="J382" s="7"/>
      <c r="K382" s="7"/>
      <c r="L382" s="7"/>
      <c r="M382" s="7"/>
      <c r="N382" s="7"/>
    </row>
    <row r="383">
      <c r="A383" s="8"/>
      <c r="I383" s="7"/>
      <c r="J383" s="7"/>
      <c r="K383" s="7"/>
      <c r="L383" s="7"/>
      <c r="M383" s="7"/>
      <c r="N383" s="7"/>
    </row>
    <row r="384">
      <c r="A384" s="8"/>
      <c r="I384" s="7"/>
      <c r="J384" s="7"/>
      <c r="K384" s="7"/>
      <c r="L384" s="7"/>
      <c r="M384" s="7"/>
      <c r="N384" s="7"/>
    </row>
    <row r="385">
      <c r="A385" s="8"/>
      <c r="I385" s="7"/>
      <c r="J385" s="7"/>
      <c r="K385" s="7"/>
      <c r="L385" s="7"/>
      <c r="M385" s="7"/>
      <c r="N385" s="7"/>
    </row>
    <row r="386">
      <c r="A386" s="8"/>
      <c r="I386" s="7"/>
      <c r="J386" s="7"/>
      <c r="K386" s="7"/>
      <c r="L386" s="7"/>
      <c r="M386" s="7"/>
      <c r="N386" s="7"/>
    </row>
    <row r="387">
      <c r="A387" s="8"/>
      <c r="I387" s="7"/>
      <c r="J387" s="7"/>
      <c r="K387" s="7"/>
      <c r="L387" s="7"/>
      <c r="M387" s="7"/>
      <c r="N387" s="7"/>
    </row>
    <row r="388">
      <c r="A388" s="8"/>
      <c r="I388" s="7"/>
      <c r="J388" s="7"/>
      <c r="K388" s="7"/>
      <c r="L388" s="7"/>
      <c r="M388" s="7"/>
      <c r="N388" s="7"/>
    </row>
    <row r="389">
      <c r="A389" s="8"/>
      <c r="I389" s="7"/>
      <c r="J389" s="7"/>
      <c r="K389" s="7"/>
      <c r="L389" s="7"/>
      <c r="M389" s="7"/>
      <c r="N389" s="7"/>
    </row>
    <row r="390">
      <c r="A390" s="8"/>
      <c r="I390" s="7"/>
      <c r="J390" s="7"/>
      <c r="K390" s="7"/>
      <c r="L390" s="7"/>
      <c r="M390" s="7"/>
      <c r="N390" s="7"/>
    </row>
    <row r="391">
      <c r="A391" s="8"/>
      <c r="I391" s="7"/>
      <c r="J391" s="7"/>
      <c r="K391" s="7"/>
      <c r="L391" s="7"/>
      <c r="M391" s="7"/>
      <c r="N391" s="7"/>
    </row>
    <row r="392">
      <c r="A392" s="8"/>
      <c r="I392" s="7"/>
      <c r="J392" s="7"/>
      <c r="K392" s="7"/>
      <c r="L392" s="7"/>
      <c r="M392" s="7"/>
      <c r="N392" s="7"/>
    </row>
    <row r="393">
      <c r="A393" s="8"/>
      <c r="I393" s="7"/>
      <c r="J393" s="7"/>
      <c r="K393" s="7"/>
      <c r="L393" s="7"/>
      <c r="M393" s="7"/>
      <c r="N393" s="7"/>
    </row>
    <row r="394">
      <c r="A394" s="8"/>
      <c r="I394" s="7"/>
      <c r="J394" s="7"/>
      <c r="K394" s="7"/>
      <c r="L394" s="7"/>
      <c r="M394" s="7"/>
      <c r="N394" s="7"/>
    </row>
    <row r="395">
      <c r="A395" s="8"/>
      <c r="I395" s="7"/>
      <c r="J395" s="7"/>
      <c r="K395" s="7"/>
      <c r="L395" s="7"/>
      <c r="M395" s="7"/>
      <c r="N395" s="7"/>
    </row>
    <row r="396">
      <c r="A396" s="8"/>
      <c r="I396" s="7"/>
      <c r="J396" s="7"/>
      <c r="K396" s="7"/>
      <c r="L396" s="7"/>
      <c r="M396" s="7"/>
      <c r="N396" s="7"/>
    </row>
    <row r="397">
      <c r="A397" s="8"/>
      <c r="I397" s="7"/>
      <c r="J397" s="7"/>
      <c r="K397" s="7"/>
      <c r="L397" s="7"/>
      <c r="M397" s="7"/>
      <c r="N397" s="7"/>
    </row>
    <row r="398">
      <c r="A398" s="8"/>
      <c r="I398" s="7"/>
      <c r="J398" s="7"/>
      <c r="K398" s="7"/>
      <c r="L398" s="7"/>
      <c r="M398" s="7"/>
      <c r="N398" s="7"/>
    </row>
    <row r="399">
      <c r="A399" s="8"/>
      <c r="I399" s="7"/>
      <c r="J399" s="7"/>
      <c r="K399" s="7"/>
      <c r="L399" s="7"/>
      <c r="M399" s="7"/>
      <c r="N399" s="7"/>
    </row>
    <row r="400">
      <c r="A400" s="8"/>
      <c r="I400" s="7"/>
      <c r="J400" s="7"/>
      <c r="K400" s="7"/>
      <c r="L400" s="7"/>
      <c r="M400" s="7"/>
      <c r="N400" s="7"/>
    </row>
    <row r="401">
      <c r="A401" s="8"/>
      <c r="I401" s="7"/>
      <c r="J401" s="7"/>
      <c r="K401" s="7"/>
      <c r="L401" s="7"/>
      <c r="M401" s="7"/>
      <c r="N401" s="7"/>
    </row>
    <row r="402">
      <c r="A402" s="8"/>
      <c r="I402" s="7"/>
      <c r="J402" s="7"/>
      <c r="K402" s="7"/>
      <c r="L402" s="7"/>
      <c r="M402" s="7"/>
      <c r="N402" s="7"/>
    </row>
    <row r="403">
      <c r="A403" s="8"/>
      <c r="I403" s="7"/>
      <c r="J403" s="7"/>
      <c r="K403" s="7"/>
      <c r="L403" s="7"/>
      <c r="M403" s="7"/>
      <c r="N403" s="7"/>
    </row>
    <row r="404">
      <c r="A404" s="8"/>
      <c r="I404" s="7"/>
      <c r="J404" s="7"/>
      <c r="K404" s="7"/>
      <c r="L404" s="7"/>
      <c r="M404" s="7"/>
      <c r="N404" s="7"/>
    </row>
    <row r="405">
      <c r="A405" s="8"/>
      <c r="I405" s="7"/>
      <c r="J405" s="7"/>
      <c r="K405" s="7"/>
      <c r="L405" s="7"/>
      <c r="M405" s="7"/>
      <c r="N405" s="7"/>
    </row>
    <row r="406">
      <c r="A406" s="8"/>
      <c r="I406" s="7"/>
      <c r="J406" s="7"/>
      <c r="K406" s="7"/>
      <c r="L406" s="7"/>
      <c r="M406" s="7"/>
      <c r="N406" s="7"/>
    </row>
    <row r="407">
      <c r="A407" s="8"/>
      <c r="I407" s="7"/>
      <c r="J407" s="7"/>
      <c r="K407" s="7"/>
      <c r="L407" s="7"/>
      <c r="M407" s="7"/>
      <c r="N407" s="7"/>
    </row>
    <row r="408">
      <c r="A408" s="8"/>
      <c r="I408" s="7"/>
      <c r="J408" s="7"/>
      <c r="K408" s="7"/>
      <c r="L408" s="7"/>
      <c r="M408" s="7"/>
      <c r="N408" s="7"/>
    </row>
    <row r="409">
      <c r="A409" s="8"/>
      <c r="I409" s="7"/>
      <c r="J409" s="7"/>
      <c r="K409" s="7"/>
      <c r="L409" s="7"/>
      <c r="M409" s="7"/>
      <c r="N409" s="7"/>
    </row>
    <row r="410">
      <c r="A410" s="8"/>
      <c r="I410" s="7"/>
      <c r="J410" s="7"/>
      <c r="K410" s="7"/>
      <c r="L410" s="7"/>
      <c r="M410" s="7"/>
      <c r="N410" s="7"/>
    </row>
    <row r="411">
      <c r="A411" s="8"/>
      <c r="I411" s="7"/>
      <c r="J411" s="7"/>
      <c r="K411" s="7"/>
      <c r="L411" s="7"/>
      <c r="M411" s="7"/>
      <c r="N411" s="7"/>
    </row>
    <row r="412">
      <c r="A412" s="8"/>
      <c r="I412" s="7"/>
      <c r="J412" s="7"/>
      <c r="K412" s="7"/>
      <c r="L412" s="7"/>
      <c r="M412" s="7"/>
      <c r="N412" s="7"/>
    </row>
    <row r="413">
      <c r="A413" s="8"/>
      <c r="I413" s="7"/>
      <c r="J413" s="7"/>
      <c r="K413" s="7"/>
      <c r="L413" s="7"/>
      <c r="M413" s="7"/>
      <c r="N413" s="7"/>
    </row>
    <row r="414">
      <c r="A414" s="8"/>
      <c r="I414" s="7"/>
      <c r="J414" s="7"/>
      <c r="K414" s="7"/>
      <c r="L414" s="7"/>
      <c r="M414" s="7"/>
      <c r="N414" s="7"/>
    </row>
    <row r="415">
      <c r="A415" s="8"/>
      <c r="I415" s="7"/>
      <c r="J415" s="7"/>
      <c r="K415" s="7"/>
      <c r="L415" s="7"/>
      <c r="M415" s="7"/>
      <c r="N415" s="7"/>
    </row>
    <row r="416">
      <c r="A416" s="8"/>
      <c r="I416" s="7"/>
      <c r="J416" s="7"/>
      <c r="K416" s="7"/>
      <c r="L416" s="7"/>
      <c r="M416" s="7"/>
      <c r="N416" s="7"/>
    </row>
    <row r="417">
      <c r="A417" s="8"/>
      <c r="I417" s="7"/>
      <c r="J417" s="7"/>
      <c r="K417" s="7"/>
      <c r="L417" s="7"/>
      <c r="M417" s="7"/>
      <c r="N417" s="7"/>
    </row>
    <row r="418">
      <c r="A418" s="8"/>
      <c r="I418" s="7"/>
      <c r="J418" s="7"/>
      <c r="K418" s="7"/>
      <c r="L418" s="7"/>
      <c r="M418" s="7"/>
      <c r="N418" s="7"/>
    </row>
    <row r="419">
      <c r="A419" s="8"/>
      <c r="I419" s="7"/>
      <c r="J419" s="7"/>
      <c r="K419" s="7"/>
      <c r="L419" s="7"/>
      <c r="M419" s="7"/>
      <c r="N419" s="7"/>
    </row>
    <row r="420">
      <c r="A420" s="8"/>
      <c r="I420" s="7"/>
      <c r="J420" s="7"/>
      <c r="K420" s="7"/>
      <c r="L420" s="7"/>
      <c r="M420" s="7"/>
      <c r="N420" s="7"/>
    </row>
    <row r="421">
      <c r="A421" s="8"/>
      <c r="I421" s="7"/>
      <c r="J421" s="7"/>
      <c r="K421" s="7"/>
      <c r="L421" s="7"/>
      <c r="M421" s="7"/>
      <c r="N421" s="7"/>
    </row>
    <row r="422">
      <c r="A422" s="8"/>
      <c r="I422" s="7"/>
      <c r="J422" s="7"/>
      <c r="K422" s="7"/>
      <c r="L422" s="7"/>
      <c r="M422" s="7"/>
      <c r="N422" s="7"/>
    </row>
    <row r="423">
      <c r="A423" s="8"/>
      <c r="I423" s="7"/>
      <c r="J423" s="7"/>
      <c r="K423" s="7"/>
      <c r="L423" s="7"/>
      <c r="M423" s="7"/>
      <c r="N423" s="7"/>
    </row>
    <row r="424">
      <c r="A424" s="8"/>
      <c r="I424" s="7"/>
      <c r="J424" s="7"/>
      <c r="K424" s="7"/>
      <c r="L424" s="7"/>
      <c r="M424" s="7"/>
      <c r="N424" s="7"/>
    </row>
    <row r="425">
      <c r="A425" s="8"/>
      <c r="I425" s="7"/>
      <c r="J425" s="7"/>
      <c r="K425" s="7"/>
      <c r="L425" s="7"/>
      <c r="M425" s="7"/>
      <c r="N425" s="7"/>
    </row>
    <row r="426">
      <c r="A426" s="8"/>
      <c r="I426" s="7"/>
      <c r="J426" s="7"/>
      <c r="K426" s="7"/>
      <c r="L426" s="7"/>
      <c r="M426" s="7"/>
      <c r="N426" s="7"/>
    </row>
    <row r="427">
      <c r="A427" s="8"/>
      <c r="I427" s="7"/>
      <c r="J427" s="7"/>
      <c r="K427" s="7"/>
      <c r="L427" s="7"/>
      <c r="M427" s="7"/>
      <c r="N427" s="7"/>
    </row>
    <row r="428">
      <c r="A428" s="8"/>
      <c r="I428" s="7"/>
      <c r="J428" s="7"/>
      <c r="K428" s="7"/>
      <c r="L428" s="7"/>
      <c r="M428" s="7"/>
      <c r="N428" s="7"/>
    </row>
    <row r="429">
      <c r="A429" s="8"/>
      <c r="I429" s="7"/>
      <c r="J429" s="7"/>
      <c r="K429" s="7"/>
      <c r="L429" s="7"/>
      <c r="M429" s="7"/>
      <c r="N429" s="7"/>
    </row>
    <row r="430">
      <c r="A430" s="8"/>
      <c r="I430" s="7"/>
      <c r="J430" s="7"/>
      <c r="K430" s="7"/>
      <c r="L430" s="7"/>
      <c r="M430" s="7"/>
      <c r="N430" s="7"/>
    </row>
    <row r="431">
      <c r="A431" s="8"/>
      <c r="I431" s="7"/>
      <c r="J431" s="7"/>
      <c r="K431" s="7"/>
      <c r="L431" s="7"/>
      <c r="M431" s="7"/>
      <c r="N431" s="7"/>
    </row>
    <row r="432">
      <c r="A432" s="8"/>
      <c r="I432" s="7"/>
      <c r="J432" s="7"/>
      <c r="K432" s="7"/>
      <c r="L432" s="7"/>
      <c r="M432" s="7"/>
      <c r="N432" s="7"/>
    </row>
    <row r="433">
      <c r="A433" s="8"/>
      <c r="I433" s="7"/>
      <c r="J433" s="7"/>
      <c r="K433" s="7"/>
      <c r="L433" s="7"/>
      <c r="M433" s="7"/>
      <c r="N433" s="7"/>
    </row>
    <row r="434">
      <c r="A434" s="8"/>
      <c r="I434" s="7"/>
      <c r="J434" s="7"/>
      <c r="K434" s="7"/>
      <c r="L434" s="7"/>
      <c r="M434" s="7"/>
      <c r="N434" s="7"/>
    </row>
    <row r="435">
      <c r="A435" s="8"/>
      <c r="I435" s="7"/>
      <c r="J435" s="7"/>
      <c r="K435" s="7"/>
      <c r="L435" s="7"/>
      <c r="M435" s="7"/>
      <c r="N435" s="7"/>
    </row>
    <row r="436">
      <c r="A436" s="8"/>
      <c r="I436" s="7"/>
      <c r="J436" s="7"/>
      <c r="K436" s="7"/>
      <c r="L436" s="7"/>
      <c r="M436" s="7"/>
      <c r="N436" s="7"/>
    </row>
    <row r="437">
      <c r="A437" s="8"/>
      <c r="I437" s="7"/>
      <c r="J437" s="7"/>
      <c r="K437" s="7"/>
      <c r="L437" s="7"/>
      <c r="M437" s="7"/>
      <c r="N437" s="7"/>
    </row>
    <row r="438">
      <c r="A438" s="8"/>
      <c r="I438" s="7"/>
      <c r="J438" s="7"/>
      <c r="K438" s="7"/>
      <c r="L438" s="7"/>
      <c r="M438" s="7"/>
      <c r="N438" s="7"/>
    </row>
    <row r="439">
      <c r="A439" s="8"/>
      <c r="I439" s="7"/>
      <c r="J439" s="7"/>
      <c r="K439" s="7"/>
      <c r="L439" s="7"/>
      <c r="M439" s="7"/>
      <c r="N439" s="7"/>
    </row>
    <row r="440">
      <c r="A440" s="8"/>
      <c r="I440" s="7"/>
      <c r="J440" s="7"/>
      <c r="K440" s="7"/>
      <c r="L440" s="7"/>
      <c r="M440" s="7"/>
      <c r="N440" s="7"/>
    </row>
    <row r="441">
      <c r="A441" s="8"/>
      <c r="I441" s="7"/>
      <c r="J441" s="7"/>
      <c r="K441" s="7"/>
      <c r="L441" s="7"/>
      <c r="M441" s="7"/>
      <c r="N441" s="7"/>
    </row>
    <row r="442">
      <c r="A442" s="8"/>
      <c r="I442" s="7"/>
      <c r="J442" s="7"/>
      <c r="K442" s="7"/>
      <c r="L442" s="7"/>
      <c r="M442" s="7"/>
      <c r="N442" s="7"/>
    </row>
    <row r="443">
      <c r="A443" s="8"/>
      <c r="I443" s="7"/>
      <c r="J443" s="7"/>
      <c r="K443" s="7"/>
      <c r="L443" s="7"/>
      <c r="M443" s="7"/>
      <c r="N443" s="7"/>
    </row>
    <row r="444">
      <c r="A444" s="8"/>
      <c r="I444" s="7"/>
      <c r="J444" s="7"/>
      <c r="K444" s="7"/>
      <c r="L444" s="7"/>
      <c r="M444" s="7"/>
      <c r="N444" s="7"/>
    </row>
    <row r="445">
      <c r="A445" s="8"/>
      <c r="I445" s="7"/>
      <c r="J445" s="7"/>
      <c r="K445" s="7"/>
      <c r="L445" s="7"/>
      <c r="M445" s="7"/>
      <c r="N445" s="7"/>
    </row>
    <row r="446">
      <c r="A446" s="8"/>
      <c r="I446" s="7"/>
      <c r="J446" s="7"/>
      <c r="K446" s="7"/>
      <c r="L446" s="7"/>
      <c r="M446" s="7"/>
      <c r="N446" s="7"/>
    </row>
    <row r="447">
      <c r="A447" s="8"/>
      <c r="I447" s="7"/>
      <c r="J447" s="7"/>
      <c r="K447" s="7"/>
      <c r="L447" s="7"/>
      <c r="M447" s="7"/>
      <c r="N447" s="7"/>
    </row>
    <row r="448">
      <c r="A448" s="8"/>
      <c r="I448" s="7"/>
      <c r="J448" s="7"/>
      <c r="K448" s="7"/>
      <c r="L448" s="7"/>
      <c r="M448" s="7"/>
      <c r="N448" s="7"/>
    </row>
    <row r="449">
      <c r="A449" s="8"/>
      <c r="I449" s="7"/>
      <c r="J449" s="7"/>
      <c r="K449" s="7"/>
      <c r="L449" s="7"/>
      <c r="M449" s="7"/>
      <c r="N449" s="7"/>
    </row>
    <row r="450">
      <c r="A450" s="8"/>
      <c r="I450" s="7"/>
      <c r="J450" s="7"/>
      <c r="K450" s="7"/>
      <c r="L450" s="7"/>
      <c r="M450" s="7"/>
      <c r="N450" s="7"/>
    </row>
    <row r="451">
      <c r="A451" s="8"/>
      <c r="I451" s="7"/>
      <c r="J451" s="7"/>
      <c r="K451" s="7"/>
      <c r="L451" s="7"/>
      <c r="M451" s="7"/>
      <c r="N451" s="7"/>
    </row>
    <row r="452">
      <c r="A452" s="8"/>
      <c r="I452" s="7"/>
      <c r="J452" s="7"/>
      <c r="K452" s="7"/>
      <c r="L452" s="7"/>
      <c r="M452" s="7"/>
      <c r="N452" s="7"/>
    </row>
    <row r="453">
      <c r="A453" s="8"/>
      <c r="I453" s="7"/>
      <c r="J453" s="7"/>
      <c r="K453" s="7"/>
      <c r="L453" s="7"/>
      <c r="M453" s="7"/>
      <c r="N453" s="7"/>
    </row>
    <row r="454">
      <c r="A454" s="8"/>
      <c r="I454" s="7"/>
      <c r="J454" s="7"/>
      <c r="K454" s="7"/>
      <c r="L454" s="7"/>
      <c r="M454" s="7"/>
      <c r="N454" s="7"/>
    </row>
    <row r="455">
      <c r="A455" s="8"/>
      <c r="I455" s="7"/>
      <c r="J455" s="7"/>
      <c r="K455" s="7"/>
      <c r="L455" s="7"/>
      <c r="M455" s="7"/>
      <c r="N455" s="7"/>
    </row>
    <row r="456">
      <c r="A456" s="8"/>
      <c r="I456" s="7"/>
      <c r="J456" s="7"/>
      <c r="K456" s="7"/>
      <c r="L456" s="7"/>
      <c r="M456" s="7"/>
      <c r="N456" s="7"/>
    </row>
    <row r="457">
      <c r="A457" s="8"/>
      <c r="I457" s="7"/>
      <c r="J457" s="7"/>
      <c r="K457" s="7"/>
      <c r="L457" s="7"/>
      <c r="M457" s="7"/>
      <c r="N457" s="7"/>
    </row>
    <row r="458">
      <c r="A458" s="8"/>
      <c r="I458" s="7"/>
      <c r="J458" s="7"/>
      <c r="K458" s="7"/>
      <c r="L458" s="7"/>
      <c r="M458" s="7"/>
      <c r="N458" s="7"/>
    </row>
    <row r="459">
      <c r="A459" s="8"/>
      <c r="I459" s="7"/>
      <c r="J459" s="7"/>
      <c r="K459" s="7"/>
      <c r="L459" s="7"/>
      <c r="M459" s="7"/>
      <c r="N459" s="7"/>
    </row>
    <row r="460">
      <c r="A460" s="8"/>
      <c r="I460" s="7"/>
      <c r="J460" s="7"/>
      <c r="K460" s="7"/>
      <c r="L460" s="7"/>
      <c r="M460" s="7"/>
      <c r="N460" s="7"/>
    </row>
    <row r="461">
      <c r="A461" s="8"/>
      <c r="I461" s="7"/>
      <c r="J461" s="7"/>
      <c r="K461" s="7"/>
      <c r="L461" s="7"/>
      <c r="M461" s="7"/>
      <c r="N461" s="7"/>
    </row>
    <row r="462">
      <c r="A462" s="8"/>
      <c r="I462" s="7"/>
      <c r="J462" s="7"/>
      <c r="K462" s="7"/>
      <c r="L462" s="7"/>
      <c r="M462" s="7"/>
      <c r="N462" s="7"/>
    </row>
    <row r="463">
      <c r="A463" s="8"/>
      <c r="I463" s="7"/>
      <c r="J463" s="7"/>
      <c r="K463" s="7"/>
      <c r="L463" s="7"/>
      <c r="M463" s="7"/>
      <c r="N463" s="7"/>
    </row>
    <row r="464">
      <c r="A464" s="8"/>
      <c r="I464" s="7"/>
      <c r="J464" s="7"/>
      <c r="K464" s="7"/>
      <c r="L464" s="7"/>
      <c r="M464" s="7"/>
      <c r="N464" s="7"/>
    </row>
    <row r="465">
      <c r="A465" s="8"/>
      <c r="I465" s="7"/>
      <c r="J465" s="7"/>
      <c r="K465" s="7"/>
      <c r="L465" s="7"/>
      <c r="M465" s="7"/>
      <c r="N465" s="7"/>
    </row>
    <row r="466">
      <c r="A466" s="8"/>
      <c r="I466" s="7"/>
      <c r="J466" s="7"/>
      <c r="K466" s="7"/>
      <c r="L466" s="7"/>
      <c r="M466" s="7"/>
      <c r="N466" s="7"/>
    </row>
    <row r="467">
      <c r="A467" s="8"/>
      <c r="I467" s="7"/>
      <c r="J467" s="7"/>
      <c r="K467" s="7"/>
      <c r="L467" s="7"/>
      <c r="M467" s="7"/>
      <c r="N467" s="7"/>
    </row>
    <row r="468">
      <c r="A468" s="8"/>
      <c r="I468" s="7"/>
      <c r="J468" s="7"/>
      <c r="K468" s="7"/>
      <c r="L468" s="7"/>
      <c r="M468" s="7"/>
      <c r="N468" s="7"/>
    </row>
    <row r="469">
      <c r="A469" s="8"/>
      <c r="I469" s="7"/>
      <c r="J469" s="7"/>
      <c r="K469" s="7"/>
      <c r="L469" s="7"/>
      <c r="M469" s="7"/>
      <c r="N469" s="7"/>
    </row>
    <row r="470">
      <c r="A470" s="8"/>
      <c r="I470" s="7"/>
      <c r="J470" s="7"/>
      <c r="K470" s="7"/>
      <c r="L470" s="7"/>
      <c r="M470" s="7"/>
      <c r="N470" s="7"/>
    </row>
    <row r="471">
      <c r="A471" s="8"/>
      <c r="I471" s="7"/>
      <c r="J471" s="7"/>
      <c r="K471" s="7"/>
      <c r="L471" s="7"/>
      <c r="M471" s="7"/>
      <c r="N471" s="7"/>
    </row>
    <row r="472">
      <c r="A472" s="8"/>
      <c r="I472" s="7"/>
      <c r="J472" s="7"/>
      <c r="K472" s="7"/>
      <c r="L472" s="7"/>
      <c r="M472" s="7"/>
      <c r="N472" s="7"/>
    </row>
    <row r="473">
      <c r="A473" s="8"/>
      <c r="I473" s="7"/>
      <c r="J473" s="7"/>
      <c r="K473" s="7"/>
      <c r="L473" s="7"/>
      <c r="M473" s="7"/>
      <c r="N473" s="7"/>
    </row>
    <row r="474">
      <c r="A474" s="8"/>
      <c r="I474" s="7"/>
      <c r="J474" s="7"/>
      <c r="K474" s="7"/>
      <c r="L474" s="7"/>
      <c r="M474" s="7"/>
      <c r="N474" s="7"/>
    </row>
    <row r="475">
      <c r="A475" s="8"/>
      <c r="I475" s="7"/>
      <c r="J475" s="7"/>
      <c r="K475" s="7"/>
      <c r="L475" s="7"/>
      <c r="M475" s="7"/>
      <c r="N475" s="7"/>
    </row>
    <row r="476">
      <c r="A476" s="8"/>
      <c r="I476" s="7"/>
      <c r="J476" s="7"/>
      <c r="K476" s="7"/>
      <c r="L476" s="7"/>
      <c r="M476" s="7"/>
      <c r="N476" s="7"/>
    </row>
    <row r="477">
      <c r="A477" s="8"/>
      <c r="I477" s="7"/>
      <c r="J477" s="7"/>
      <c r="K477" s="7"/>
      <c r="L477" s="7"/>
      <c r="M477" s="7"/>
      <c r="N477" s="7"/>
    </row>
    <row r="478">
      <c r="A478" s="8"/>
      <c r="I478" s="7"/>
      <c r="J478" s="7"/>
      <c r="K478" s="7"/>
      <c r="L478" s="7"/>
      <c r="M478" s="7"/>
      <c r="N478" s="7"/>
    </row>
    <row r="479">
      <c r="A479" s="8"/>
      <c r="I479" s="7"/>
      <c r="J479" s="7"/>
      <c r="K479" s="7"/>
      <c r="L479" s="7"/>
      <c r="M479" s="7"/>
      <c r="N479" s="7"/>
    </row>
    <row r="480">
      <c r="A480" s="8"/>
      <c r="I480" s="7"/>
      <c r="J480" s="7"/>
      <c r="K480" s="7"/>
      <c r="L480" s="7"/>
      <c r="M480" s="7"/>
      <c r="N480" s="7"/>
    </row>
    <row r="481">
      <c r="A481" s="8"/>
      <c r="I481" s="7"/>
      <c r="J481" s="7"/>
      <c r="K481" s="7"/>
      <c r="L481" s="7"/>
      <c r="M481" s="7"/>
      <c r="N481" s="7"/>
    </row>
    <row r="482">
      <c r="A482" s="8"/>
      <c r="I482" s="7"/>
      <c r="J482" s="7"/>
      <c r="K482" s="7"/>
      <c r="L482" s="7"/>
      <c r="M482" s="7"/>
      <c r="N482" s="7"/>
    </row>
    <row r="483">
      <c r="A483" s="8"/>
      <c r="I483" s="7"/>
      <c r="J483" s="7"/>
      <c r="K483" s="7"/>
      <c r="L483" s="7"/>
      <c r="M483" s="7"/>
      <c r="N483" s="7"/>
    </row>
    <row r="484">
      <c r="A484" s="8"/>
      <c r="I484" s="7"/>
      <c r="J484" s="7"/>
      <c r="K484" s="7"/>
      <c r="L484" s="7"/>
      <c r="M484" s="7"/>
      <c r="N484" s="7"/>
    </row>
    <row r="485">
      <c r="A485" s="8"/>
      <c r="I485" s="7"/>
      <c r="J485" s="7"/>
      <c r="K485" s="7"/>
      <c r="L485" s="7"/>
      <c r="M485" s="7"/>
      <c r="N485" s="7"/>
    </row>
    <row r="486">
      <c r="A486" s="8"/>
      <c r="I486" s="7"/>
      <c r="J486" s="7"/>
      <c r="K486" s="7"/>
      <c r="L486" s="7"/>
      <c r="M486" s="7"/>
      <c r="N486" s="7"/>
    </row>
    <row r="487">
      <c r="A487" s="8"/>
      <c r="I487" s="7"/>
      <c r="J487" s="7"/>
      <c r="K487" s="7"/>
      <c r="L487" s="7"/>
      <c r="M487" s="7"/>
      <c r="N487" s="7"/>
    </row>
    <row r="488">
      <c r="A488" s="8"/>
      <c r="I488" s="7"/>
      <c r="J488" s="7"/>
      <c r="K488" s="7"/>
      <c r="L488" s="7"/>
      <c r="M488" s="7"/>
      <c r="N488" s="7"/>
    </row>
    <row r="489">
      <c r="A489" s="8"/>
      <c r="I489" s="7"/>
      <c r="J489" s="7"/>
      <c r="K489" s="7"/>
      <c r="L489" s="7"/>
      <c r="M489" s="7"/>
      <c r="N489" s="7"/>
    </row>
    <row r="490">
      <c r="A490" s="8"/>
      <c r="I490" s="7"/>
      <c r="J490" s="7"/>
      <c r="K490" s="7"/>
      <c r="L490" s="7"/>
      <c r="M490" s="7"/>
      <c r="N490" s="7"/>
    </row>
    <row r="491">
      <c r="A491" s="8"/>
      <c r="I491" s="7"/>
      <c r="J491" s="7"/>
      <c r="K491" s="7"/>
      <c r="L491" s="7"/>
      <c r="M491" s="7"/>
      <c r="N491" s="7"/>
    </row>
    <row r="492">
      <c r="A492" s="8"/>
      <c r="I492" s="7"/>
      <c r="J492" s="7"/>
      <c r="K492" s="7"/>
      <c r="L492" s="7"/>
      <c r="M492" s="7"/>
      <c r="N492" s="7"/>
    </row>
    <row r="493">
      <c r="A493" s="8"/>
      <c r="I493" s="7"/>
      <c r="J493" s="7"/>
      <c r="K493" s="7"/>
      <c r="L493" s="7"/>
      <c r="M493" s="7"/>
      <c r="N493" s="7"/>
    </row>
    <row r="494">
      <c r="A494" s="8"/>
      <c r="I494" s="7"/>
      <c r="J494" s="7"/>
      <c r="K494" s="7"/>
      <c r="L494" s="7"/>
      <c r="M494" s="7"/>
      <c r="N494" s="7"/>
    </row>
    <row r="495">
      <c r="A495" s="8"/>
      <c r="I495" s="7"/>
      <c r="J495" s="7"/>
      <c r="K495" s="7"/>
      <c r="L495" s="7"/>
      <c r="M495" s="7"/>
      <c r="N495" s="7"/>
    </row>
    <row r="496">
      <c r="A496" s="8"/>
      <c r="I496" s="7"/>
      <c r="J496" s="7"/>
      <c r="K496" s="7"/>
      <c r="L496" s="7"/>
      <c r="M496" s="7"/>
      <c r="N496" s="7"/>
    </row>
    <row r="497">
      <c r="A497" s="8"/>
      <c r="I497" s="7"/>
      <c r="J497" s="7"/>
      <c r="K497" s="7"/>
      <c r="L497" s="7"/>
      <c r="M497" s="7"/>
      <c r="N497" s="7"/>
    </row>
    <row r="498">
      <c r="A498" s="8"/>
      <c r="I498" s="7"/>
      <c r="J498" s="7"/>
      <c r="K498" s="7"/>
      <c r="L498" s="7"/>
      <c r="M498" s="7"/>
      <c r="N498" s="7"/>
    </row>
    <row r="499">
      <c r="A499" s="8"/>
      <c r="I499" s="7"/>
      <c r="J499" s="7"/>
      <c r="K499" s="7"/>
      <c r="L499" s="7"/>
      <c r="M499" s="7"/>
      <c r="N499" s="7"/>
    </row>
    <row r="500">
      <c r="A500" s="8"/>
      <c r="I500" s="7"/>
      <c r="J500" s="7"/>
      <c r="K500" s="7"/>
      <c r="L500" s="7"/>
      <c r="M500" s="7"/>
      <c r="N500" s="7"/>
    </row>
    <row r="501">
      <c r="A501" s="8"/>
      <c r="I501" s="7"/>
      <c r="J501" s="7"/>
      <c r="K501" s="7"/>
      <c r="L501" s="7"/>
      <c r="M501" s="7"/>
      <c r="N501" s="7"/>
    </row>
    <row r="502">
      <c r="A502" s="8"/>
      <c r="I502" s="7"/>
      <c r="J502" s="7"/>
      <c r="K502" s="7"/>
      <c r="L502" s="7"/>
      <c r="M502" s="7"/>
      <c r="N502" s="7"/>
    </row>
    <row r="503">
      <c r="A503" s="8"/>
      <c r="I503" s="7"/>
      <c r="J503" s="7"/>
      <c r="K503" s="7"/>
      <c r="L503" s="7"/>
      <c r="M503" s="7"/>
      <c r="N503" s="7"/>
    </row>
    <row r="504">
      <c r="A504" s="8"/>
      <c r="I504" s="7"/>
      <c r="J504" s="7"/>
      <c r="K504" s="7"/>
      <c r="L504" s="7"/>
      <c r="M504" s="7"/>
      <c r="N504" s="7"/>
    </row>
    <row r="505">
      <c r="A505" s="8"/>
      <c r="I505" s="7"/>
      <c r="J505" s="7"/>
      <c r="K505" s="7"/>
      <c r="L505" s="7"/>
      <c r="M505" s="7"/>
      <c r="N505" s="7"/>
    </row>
    <row r="506">
      <c r="A506" s="8"/>
      <c r="I506" s="7"/>
      <c r="J506" s="7"/>
      <c r="K506" s="7"/>
      <c r="L506" s="7"/>
      <c r="M506" s="7"/>
      <c r="N506" s="7"/>
    </row>
    <row r="507">
      <c r="A507" s="8"/>
      <c r="I507" s="7"/>
      <c r="J507" s="7"/>
      <c r="K507" s="7"/>
      <c r="L507" s="7"/>
      <c r="M507" s="7"/>
      <c r="N507" s="7"/>
    </row>
    <row r="508">
      <c r="A508" s="8"/>
      <c r="I508" s="7"/>
      <c r="J508" s="7"/>
      <c r="K508" s="7"/>
      <c r="L508" s="7"/>
      <c r="M508" s="7"/>
      <c r="N508" s="7"/>
    </row>
    <row r="509">
      <c r="A509" s="8"/>
      <c r="I509" s="7"/>
      <c r="J509" s="7"/>
      <c r="K509" s="7"/>
      <c r="L509" s="7"/>
      <c r="M509" s="7"/>
      <c r="N509" s="7"/>
    </row>
    <row r="510">
      <c r="A510" s="8"/>
      <c r="I510" s="7"/>
      <c r="J510" s="7"/>
      <c r="K510" s="7"/>
      <c r="L510" s="7"/>
      <c r="M510" s="7"/>
      <c r="N510" s="7"/>
    </row>
    <row r="511">
      <c r="A511" s="8"/>
      <c r="I511" s="7"/>
      <c r="J511" s="7"/>
      <c r="K511" s="7"/>
      <c r="L511" s="7"/>
      <c r="M511" s="7"/>
      <c r="N511" s="7"/>
    </row>
    <row r="512">
      <c r="A512" s="8"/>
      <c r="I512" s="7"/>
      <c r="J512" s="7"/>
      <c r="K512" s="7"/>
      <c r="L512" s="7"/>
      <c r="M512" s="7"/>
      <c r="N512" s="7"/>
    </row>
    <row r="513">
      <c r="A513" s="8"/>
      <c r="I513" s="7"/>
      <c r="J513" s="7"/>
      <c r="K513" s="7"/>
      <c r="L513" s="7"/>
      <c r="M513" s="7"/>
      <c r="N513" s="7"/>
    </row>
    <row r="514">
      <c r="A514" s="8"/>
      <c r="I514" s="7"/>
      <c r="J514" s="7"/>
      <c r="K514" s="7"/>
      <c r="L514" s="7"/>
      <c r="M514" s="7"/>
      <c r="N514" s="7"/>
    </row>
    <row r="515">
      <c r="A515" s="8"/>
      <c r="I515" s="7"/>
      <c r="J515" s="7"/>
      <c r="K515" s="7"/>
      <c r="L515" s="7"/>
      <c r="M515" s="7"/>
      <c r="N515" s="7"/>
    </row>
    <row r="516">
      <c r="A516" s="8"/>
      <c r="I516" s="7"/>
      <c r="J516" s="7"/>
      <c r="K516" s="7"/>
      <c r="L516" s="7"/>
      <c r="M516" s="7"/>
      <c r="N516" s="7"/>
    </row>
    <row r="517">
      <c r="A517" s="8"/>
      <c r="I517" s="7"/>
      <c r="J517" s="7"/>
      <c r="K517" s="7"/>
      <c r="L517" s="7"/>
      <c r="M517" s="7"/>
      <c r="N517" s="7"/>
    </row>
    <row r="518">
      <c r="A518" s="8"/>
      <c r="I518" s="7"/>
      <c r="J518" s="7"/>
      <c r="K518" s="7"/>
      <c r="L518" s="7"/>
      <c r="M518" s="7"/>
      <c r="N518" s="7"/>
    </row>
    <row r="519">
      <c r="A519" s="8"/>
      <c r="I519" s="7"/>
      <c r="J519" s="7"/>
      <c r="K519" s="7"/>
      <c r="L519" s="7"/>
      <c r="M519" s="7"/>
      <c r="N519" s="7"/>
    </row>
    <row r="520">
      <c r="A520" s="8"/>
      <c r="I520" s="7"/>
      <c r="J520" s="7"/>
      <c r="K520" s="7"/>
      <c r="L520" s="7"/>
      <c r="M520" s="7"/>
      <c r="N520" s="7"/>
    </row>
    <row r="521">
      <c r="A521" s="8"/>
      <c r="I521" s="7"/>
      <c r="J521" s="7"/>
      <c r="K521" s="7"/>
      <c r="L521" s="7"/>
      <c r="M521" s="7"/>
      <c r="N521" s="7"/>
    </row>
    <row r="522">
      <c r="A522" s="8"/>
      <c r="I522" s="7"/>
      <c r="J522" s="7"/>
      <c r="K522" s="7"/>
      <c r="L522" s="7"/>
      <c r="M522" s="7"/>
      <c r="N522" s="7"/>
    </row>
    <row r="523">
      <c r="A523" s="8"/>
      <c r="I523" s="7"/>
      <c r="J523" s="7"/>
      <c r="K523" s="7"/>
      <c r="L523" s="7"/>
      <c r="M523" s="7"/>
      <c r="N523" s="7"/>
    </row>
    <row r="524">
      <c r="A524" s="8"/>
      <c r="I524" s="7"/>
      <c r="J524" s="7"/>
      <c r="K524" s="7"/>
      <c r="L524" s="7"/>
      <c r="M524" s="7"/>
      <c r="N524" s="7"/>
    </row>
    <row r="525">
      <c r="A525" s="8"/>
      <c r="I525" s="7"/>
      <c r="J525" s="7"/>
      <c r="K525" s="7"/>
      <c r="L525" s="7"/>
      <c r="M525" s="7"/>
      <c r="N525" s="7"/>
    </row>
    <row r="526">
      <c r="A526" s="8"/>
      <c r="I526" s="7"/>
      <c r="J526" s="7"/>
      <c r="K526" s="7"/>
      <c r="L526" s="7"/>
      <c r="M526" s="7"/>
      <c r="N526" s="7"/>
    </row>
    <row r="527">
      <c r="A527" s="8"/>
      <c r="I527" s="7"/>
      <c r="J527" s="7"/>
      <c r="K527" s="7"/>
      <c r="L527" s="7"/>
      <c r="M527" s="7"/>
      <c r="N527" s="7"/>
    </row>
    <row r="528">
      <c r="A528" s="8"/>
      <c r="I528" s="7"/>
      <c r="J528" s="7"/>
      <c r="K528" s="7"/>
      <c r="L528" s="7"/>
      <c r="M528" s="7"/>
      <c r="N528" s="7"/>
    </row>
    <row r="529">
      <c r="A529" s="8"/>
      <c r="I529" s="7"/>
      <c r="J529" s="7"/>
      <c r="K529" s="7"/>
      <c r="L529" s="7"/>
      <c r="M529" s="7"/>
      <c r="N529" s="7"/>
    </row>
    <row r="530">
      <c r="A530" s="8"/>
      <c r="I530" s="7"/>
      <c r="J530" s="7"/>
      <c r="K530" s="7"/>
      <c r="L530" s="7"/>
      <c r="M530" s="7"/>
      <c r="N530" s="7"/>
    </row>
    <row r="531">
      <c r="A531" s="8"/>
      <c r="I531" s="7"/>
      <c r="J531" s="7"/>
      <c r="K531" s="7"/>
      <c r="L531" s="7"/>
      <c r="M531" s="7"/>
      <c r="N531" s="7"/>
    </row>
    <row r="532">
      <c r="A532" s="8"/>
      <c r="I532" s="7"/>
      <c r="J532" s="7"/>
      <c r="K532" s="7"/>
      <c r="L532" s="7"/>
      <c r="M532" s="7"/>
      <c r="N532" s="7"/>
    </row>
    <row r="533">
      <c r="A533" s="8"/>
      <c r="I533" s="7"/>
      <c r="J533" s="7"/>
      <c r="K533" s="7"/>
      <c r="L533" s="7"/>
      <c r="M533" s="7"/>
      <c r="N533" s="7"/>
    </row>
    <row r="534">
      <c r="A534" s="8"/>
      <c r="I534" s="7"/>
      <c r="J534" s="7"/>
      <c r="K534" s="7"/>
      <c r="L534" s="7"/>
      <c r="M534" s="7"/>
      <c r="N534" s="7"/>
    </row>
    <row r="535">
      <c r="A535" s="8"/>
      <c r="I535" s="7"/>
      <c r="J535" s="7"/>
      <c r="K535" s="7"/>
      <c r="L535" s="7"/>
      <c r="M535" s="7"/>
      <c r="N535" s="7"/>
    </row>
    <row r="536">
      <c r="A536" s="8"/>
      <c r="I536" s="7"/>
      <c r="J536" s="7"/>
      <c r="K536" s="7"/>
      <c r="L536" s="7"/>
      <c r="M536" s="7"/>
      <c r="N536" s="7"/>
    </row>
    <row r="537">
      <c r="A537" s="8"/>
      <c r="I537" s="7"/>
      <c r="J537" s="7"/>
      <c r="K537" s="7"/>
      <c r="L537" s="7"/>
      <c r="M537" s="7"/>
      <c r="N537" s="7"/>
    </row>
    <row r="538">
      <c r="A538" s="8"/>
      <c r="I538" s="7"/>
      <c r="J538" s="7"/>
      <c r="K538" s="7"/>
      <c r="L538" s="7"/>
      <c r="M538" s="7"/>
      <c r="N538" s="7"/>
    </row>
    <row r="539">
      <c r="A539" s="8"/>
      <c r="I539" s="7"/>
      <c r="J539" s="7"/>
      <c r="K539" s="7"/>
      <c r="L539" s="7"/>
      <c r="M539" s="7"/>
      <c r="N539" s="7"/>
    </row>
    <row r="540">
      <c r="A540" s="8"/>
      <c r="I540" s="7"/>
      <c r="J540" s="7"/>
      <c r="K540" s="7"/>
      <c r="L540" s="7"/>
      <c r="M540" s="7"/>
      <c r="N540" s="7"/>
    </row>
    <row r="541">
      <c r="A541" s="8"/>
      <c r="I541" s="7"/>
      <c r="J541" s="7"/>
      <c r="K541" s="7"/>
      <c r="L541" s="7"/>
      <c r="M541" s="7"/>
      <c r="N541" s="7"/>
    </row>
    <row r="542">
      <c r="A542" s="8"/>
      <c r="I542" s="7"/>
      <c r="J542" s="7"/>
      <c r="K542" s="7"/>
      <c r="L542" s="7"/>
      <c r="M542" s="7"/>
      <c r="N542" s="7"/>
    </row>
    <row r="543">
      <c r="A543" s="8"/>
      <c r="I543" s="7"/>
      <c r="J543" s="7"/>
      <c r="K543" s="7"/>
      <c r="L543" s="7"/>
      <c r="M543" s="7"/>
      <c r="N543" s="7"/>
    </row>
    <row r="544">
      <c r="A544" s="8"/>
      <c r="I544" s="7"/>
      <c r="J544" s="7"/>
      <c r="K544" s="7"/>
      <c r="L544" s="7"/>
      <c r="M544" s="7"/>
      <c r="N544" s="7"/>
    </row>
    <row r="545">
      <c r="A545" s="8"/>
      <c r="I545" s="7"/>
      <c r="J545" s="7"/>
      <c r="K545" s="7"/>
      <c r="L545" s="7"/>
      <c r="M545" s="7"/>
      <c r="N545" s="7"/>
    </row>
    <row r="546">
      <c r="A546" s="8"/>
      <c r="I546" s="7"/>
      <c r="J546" s="7"/>
      <c r="K546" s="7"/>
      <c r="L546" s="7"/>
      <c r="M546" s="7"/>
      <c r="N546" s="7"/>
    </row>
    <row r="547">
      <c r="A547" s="8"/>
      <c r="I547" s="7"/>
      <c r="J547" s="7"/>
      <c r="K547" s="7"/>
      <c r="L547" s="7"/>
      <c r="M547" s="7"/>
      <c r="N547" s="7"/>
    </row>
    <row r="548">
      <c r="A548" s="8"/>
      <c r="I548" s="7"/>
      <c r="J548" s="7"/>
      <c r="K548" s="7"/>
      <c r="L548" s="7"/>
      <c r="M548" s="7"/>
      <c r="N548" s="7"/>
    </row>
    <row r="549">
      <c r="A549" s="8"/>
      <c r="I549" s="7"/>
      <c r="J549" s="7"/>
      <c r="K549" s="7"/>
      <c r="L549" s="7"/>
      <c r="M549" s="7"/>
      <c r="N549" s="7"/>
    </row>
    <row r="550">
      <c r="A550" s="8"/>
      <c r="I550" s="7"/>
      <c r="J550" s="7"/>
      <c r="K550" s="7"/>
      <c r="L550" s="7"/>
      <c r="M550" s="7"/>
      <c r="N550" s="7"/>
    </row>
    <row r="551">
      <c r="A551" s="8"/>
      <c r="I551" s="7"/>
      <c r="J551" s="7"/>
      <c r="K551" s="7"/>
      <c r="L551" s="7"/>
      <c r="M551" s="7"/>
      <c r="N551" s="7"/>
    </row>
    <row r="552">
      <c r="A552" s="8"/>
      <c r="I552" s="7"/>
      <c r="J552" s="7"/>
      <c r="K552" s="7"/>
      <c r="L552" s="7"/>
      <c r="M552" s="7"/>
      <c r="N552" s="7"/>
    </row>
    <row r="553">
      <c r="A553" s="8"/>
      <c r="I553" s="7"/>
      <c r="J553" s="7"/>
      <c r="K553" s="7"/>
      <c r="L553" s="7"/>
      <c r="M553" s="7"/>
      <c r="N553" s="7"/>
    </row>
    <row r="554">
      <c r="A554" s="8"/>
      <c r="I554" s="7"/>
      <c r="J554" s="7"/>
      <c r="K554" s="7"/>
      <c r="L554" s="7"/>
      <c r="M554" s="7"/>
      <c r="N554" s="7"/>
    </row>
    <row r="555">
      <c r="A555" s="8"/>
      <c r="I555" s="7"/>
      <c r="J555" s="7"/>
      <c r="K555" s="7"/>
      <c r="L555" s="7"/>
      <c r="M555" s="7"/>
      <c r="N555" s="7"/>
    </row>
    <row r="556">
      <c r="A556" s="8"/>
      <c r="I556" s="7"/>
      <c r="J556" s="7"/>
      <c r="K556" s="7"/>
      <c r="L556" s="7"/>
      <c r="M556" s="7"/>
      <c r="N556" s="7"/>
    </row>
    <row r="557">
      <c r="A557" s="8"/>
      <c r="I557" s="7"/>
      <c r="J557" s="7"/>
      <c r="K557" s="7"/>
      <c r="L557" s="7"/>
      <c r="M557" s="7"/>
      <c r="N557" s="7"/>
    </row>
    <row r="558">
      <c r="A558" s="8"/>
      <c r="I558" s="7"/>
      <c r="J558" s="7"/>
      <c r="K558" s="7"/>
      <c r="L558" s="7"/>
      <c r="M558" s="7"/>
      <c r="N558" s="7"/>
    </row>
    <row r="559">
      <c r="A559" s="8"/>
      <c r="I559" s="7"/>
      <c r="J559" s="7"/>
      <c r="K559" s="7"/>
      <c r="L559" s="7"/>
      <c r="M559" s="7"/>
      <c r="N559" s="7"/>
    </row>
    <row r="560">
      <c r="A560" s="8"/>
      <c r="I560" s="7"/>
      <c r="J560" s="7"/>
      <c r="K560" s="7"/>
      <c r="L560" s="7"/>
      <c r="M560" s="7"/>
      <c r="N560" s="7"/>
    </row>
    <row r="561">
      <c r="A561" s="8"/>
      <c r="I561" s="7"/>
      <c r="J561" s="7"/>
      <c r="K561" s="7"/>
      <c r="L561" s="7"/>
      <c r="M561" s="7"/>
      <c r="N561" s="7"/>
    </row>
    <row r="562">
      <c r="A562" s="8"/>
      <c r="I562" s="7"/>
      <c r="J562" s="7"/>
      <c r="K562" s="7"/>
      <c r="L562" s="7"/>
      <c r="M562" s="7"/>
      <c r="N562" s="7"/>
    </row>
    <row r="563">
      <c r="A563" s="8"/>
      <c r="I563" s="7"/>
      <c r="J563" s="7"/>
      <c r="K563" s="7"/>
      <c r="L563" s="7"/>
      <c r="M563" s="7"/>
      <c r="N563" s="7"/>
    </row>
    <row r="564">
      <c r="A564" s="8"/>
      <c r="I564" s="7"/>
      <c r="J564" s="7"/>
      <c r="K564" s="7"/>
      <c r="L564" s="7"/>
      <c r="M564" s="7"/>
      <c r="N564" s="7"/>
    </row>
    <row r="565">
      <c r="A565" s="8"/>
      <c r="I565" s="7"/>
      <c r="J565" s="7"/>
      <c r="K565" s="7"/>
      <c r="L565" s="7"/>
      <c r="M565" s="7"/>
      <c r="N565" s="7"/>
    </row>
    <row r="566">
      <c r="A566" s="8"/>
      <c r="I566" s="7"/>
      <c r="J566" s="7"/>
      <c r="K566" s="7"/>
      <c r="L566" s="7"/>
      <c r="M566" s="7"/>
      <c r="N566" s="7"/>
    </row>
    <row r="567">
      <c r="A567" s="8"/>
      <c r="I567" s="7"/>
      <c r="J567" s="7"/>
      <c r="K567" s="7"/>
      <c r="L567" s="7"/>
      <c r="M567" s="7"/>
      <c r="N567" s="7"/>
    </row>
    <row r="568">
      <c r="A568" s="8"/>
      <c r="I568" s="7"/>
      <c r="J568" s="7"/>
      <c r="K568" s="7"/>
      <c r="L568" s="7"/>
      <c r="M568" s="7"/>
      <c r="N568" s="7"/>
    </row>
    <row r="569">
      <c r="A569" s="8"/>
      <c r="I569" s="7"/>
      <c r="J569" s="7"/>
      <c r="K569" s="7"/>
      <c r="L569" s="7"/>
      <c r="M569" s="7"/>
      <c r="N569" s="7"/>
    </row>
    <row r="570">
      <c r="A570" s="8"/>
      <c r="I570" s="7"/>
      <c r="J570" s="7"/>
      <c r="K570" s="7"/>
      <c r="L570" s="7"/>
      <c r="M570" s="7"/>
      <c r="N570" s="7"/>
    </row>
    <row r="571">
      <c r="A571" s="8"/>
      <c r="I571" s="7"/>
      <c r="J571" s="7"/>
      <c r="K571" s="7"/>
      <c r="L571" s="7"/>
      <c r="M571" s="7"/>
      <c r="N571" s="7"/>
    </row>
    <row r="572">
      <c r="A572" s="8"/>
      <c r="I572" s="7"/>
      <c r="J572" s="7"/>
      <c r="K572" s="7"/>
      <c r="L572" s="7"/>
      <c r="M572" s="7"/>
      <c r="N572" s="7"/>
    </row>
    <row r="573">
      <c r="A573" s="8"/>
      <c r="I573" s="7"/>
      <c r="J573" s="7"/>
      <c r="K573" s="7"/>
      <c r="L573" s="7"/>
      <c r="M573" s="7"/>
      <c r="N573" s="7"/>
    </row>
    <row r="574">
      <c r="A574" s="8"/>
      <c r="I574" s="7"/>
      <c r="J574" s="7"/>
      <c r="K574" s="7"/>
      <c r="L574" s="7"/>
      <c r="M574" s="7"/>
      <c r="N574" s="7"/>
    </row>
    <row r="575">
      <c r="A575" s="8"/>
      <c r="I575" s="7"/>
      <c r="J575" s="7"/>
      <c r="K575" s="7"/>
      <c r="L575" s="7"/>
      <c r="M575" s="7"/>
      <c r="N575" s="7"/>
    </row>
    <row r="576">
      <c r="A576" s="8"/>
      <c r="I576" s="7"/>
      <c r="J576" s="7"/>
      <c r="K576" s="7"/>
      <c r="L576" s="7"/>
      <c r="M576" s="7"/>
      <c r="N576" s="7"/>
    </row>
    <row r="577">
      <c r="A577" s="8"/>
      <c r="I577" s="7"/>
      <c r="J577" s="7"/>
      <c r="K577" s="7"/>
      <c r="L577" s="7"/>
      <c r="M577" s="7"/>
      <c r="N577" s="7"/>
    </row>
    <row r="578">
      <c r="A578" s="8"/>
      <c r="I578" s="7"/>
      <c r="J578" s="7"/>
      <c r="K578" s="7"/>
      <c r="L578" s="7"/>
      <c r="M578" s="7"/>
      <c r="N578" s="7"/>
    </row>
    <row r="579">
      <c r="A579" s="8"/>
      <c r="I579" s="7"/>
      <c r="J579" s="7"/>
      <c r="K579" s="7"/>
      <c r="L579" s="7"/>
      <c r="M579" s="7"/>
      <c r="N579" s="7"/>
    </row>
    <row r="580">
      <c r="A580" s="8"/>
      <c r="I580" s="7"/>
      <c r="J580" s="7"/>
      <c r="K580" s="7"/>
      <c r="L580" s="7"/>
      <c r="M580" s="7"/>
      <c r="N580" s="7"/>
    </row>
    <row r="581">
      <c r="A581" s="8"/>
      <c r="I581" s="7"/>
      <c r="J581" s="7"/>
      <c r="K581" s="7"/>
      <c r="L581" s="7"/>
      <c r="M581" s="7"/>
      <c r="N581" s="7"/>
    </row>
    <row r="582">
      <c r="A582" s="8"/>
      <c r="I582" s="7"/>
      <c r="J582" s="7"/>
      <c r="K582" s="7"/>
      <c r="L582" s="7"/>
      <c r="M582" s="7"/>
      <c r="N582" s="7"/>
    </row>
    <row r="583">
      <c r="A583" s="8"/>
      <c r="I583" s="7"/>
      <c r="J583" s="7"/>
      <c r="K583" s="7"/>
      <c r="L583" s="7"/>
      <c r="M583" s="7"/>
      <c r="N583" s="7"/>
    </row>
    <row r="584">
      <c r="A584" s="8"/>
      <c r="I584" s="7"/>
      <c r="J584" s="7"/>
      <c r="K584" s="7"/>
      <c r="L584" s="7"/>
      <c r="M584" s="7"/>
      <c r="N584" s="7"/>
    </row>
    <row r="585">
      <c r="A585" s="8"/>
      <c r="I585" s="7"/>
      <c r="J585" s="7"/>
      <c r="K585" s="7"/>
      <c r="L585" s="7"/>
      <c r="M585" s="7"/>
      <c r="N585" s="7"/>
    </row>
    <row r="586">
      <c r="A586" s="8"/>
      <c r="I586" s="7"/>
      <c r="J586" s="7"/>
      <c r="K586" s="7"/>
      <c r="L586" s="7"/>
      <c r="M586" s="7"/>
      <c r="N586" s="7"/>
    </row>
    <row r="587">
      <c r="A587" s="8"/>
      <c r="I587" s="7"/>
      <c r="J587" s="7"/>
      <c r="K587" s="7"/>
      <c r="L587" s="7"/>
      <c r="M587" s="7"/>
      <c r="N587" s="7"/>
    </row>
    <row r="588">
      <c r="A588" s="8"/>
      <c r="I588" s="7"/>
      <c r="J588" s="7"/>
      <c r="K588" s="7"/>
      <c r="L588" s="7"/>
      <c r="M588" s="7"/>
      <c r="N588" s="7"/>
    </row>
    <row r="589">
      <c r="A589" s="8"/>
      <c r="I589" s="7"/>
      <c r="J589" s="7"/>
      <c r="K589" s="7"/>
      <c r="L589" s="7"/>
      <c r="M589" s="7"/>
      <c r="N589" s="7"/>
    </row>
    <row r="590">
      <c r="A590" s="8"/>
      <c r="I590" s="7"/>
      <c r="J590" s="7"/>
      <c r="K590" s="7"/>
      <c r="L590" s="7"/>
      <c r="M590" s="7"/>
      <c r="N590" s="7"/>
    </row>
    <row r="591">
      <c r="A591" s="8"/>
      <c r="I591" s="7"/>
      <c r="J591" s="7"/>
      <c r="K591" s="7"/>
      <c r="L591" s="7"/>
      <c r="M591" s="7"/>
      <c r="N591" s="7"/>
    </row>
    <row r="592">
      <c r="A592" s="8"/>
      <c r="I592" s="7"/>
      <c r="J592" s="7"/>
      <c r="K592" s="7"/>
      <c r="L592" s="7"/>
      <c r="M592" s="7"/>
      <c r="N592" s="7"/>
    </row>
    <row r="593">
      <c r="A593" s="8"/>
      <c r="I593" s="7"/>
      <c r="J593" s="7"/>
      <c r="K593" s="7"/>
      <c r="L593" s="7"/>
      <c r="M593" s="7"/>
      <c r="N593" s="7"/>
    </row>
    <row r="594">
      <c r="A594" s="8"/>
      <c r="I594" s="7"/>
      <c r="J594" s="7"/>
      <c r="K594" s="7"/>
      <c r="L594" s="7"/>
      <c r="M594" s="7"/>
      <c r="N594" s="7"/>
    </row>
    <row r="595">
      <c r="A595" s="8"/>
      <c r="I595" s="7"/>
      <c r="J595" s="7"/>
      <c r="K595" s="7"/>
      <c r="L595" s="7"/>
      <c r="M595" s="7"/>
      <c r="N595" s="7"/>
    </row>
    <row r="596">
      <c r="A596" s="8"/>
      <c r="I596" s="7"/>
      <c r="J596" s="7"/>
      <c r="K596" s="7"/>
      <c r="L596" s="7"/>
      <c r="M596" s="7"/>
      <c r="N596" s="7"/>
    </row>
    <row r="597">
      <c r="A597" s="8"/>
      <c r="I597" s="7"/>
      <c r="J597" s="7"/>
      <c r="K597" s="7"/>
      <c r="L597" s="7"/>
      <c r="M597" s="7"/>
      <c r="N597" s="7"/>
    </row>
    <row r="598">
      <c r="A598" s="8"/>
      <c r="I598" s="7"/>
      <c r="J598" s="7"/>
      <c r="K598" s="7"/>
      <c r="L598" s="7"/>
      <c r="M598" s="7"/>
      <c r="N598" s="7"/>
    </row>
    <row r="599">
      <c r="A599" s="8"/>
      <c r="I599" s="7"/>
      <c r="J599" s="7"/>
      <c r="K599" s="7"/>
      <c r="L599" s="7"/>
      <c r="M599" s="7"/>
      <c r="N599" s="7"/>
    </row>
    <row r="600">
      <c r="A600" s="8"/>
      <c r="I600" s="7"/>
      <c r="J600" s="7"/>
      <c r="K600" s="7"/>
      <c r="L600" s="7"/>
      <c r="M600" s="7"/>
      <c r="N600" s="7"/>
    </row>
    <row r="601">
      <c r="A601" s="8"/>
      <c r="I601" s="7"/>
      <c r="J601" s="7"/>
      <c r="K601" s="7"/>
      <c r="L601" s="7"/>
      <c r="M601" s="7"/>
      <c r="N601" s="7"/>
    </row>
    <row r="602">
      <c r="A602" s="8"/>
      <c r="I602" s="7"/>
      <c r="J602" s="7"/>
      <c r="K602" s="7"/>
      <c r="L602" s="7"/>
      <c r="M602" s="7"/>
      <c r="N602" s="7"/>
    </row>
    <row r="603">
      <c r="A603" s="8"/>
      <c r="I603" s="7"/>
      <c r="J603" s="7"/>
      <c r="K603" s="7"/>
      <c r="L603" s="7"/>
      <c r="M603" s="7"/>
      <c r="N603" s="7"/>
    </row>
    <row r="604">
      <c r="A604" s="8"/>
      <c r="I604" s="7"/>
      <c r="J604" s="7"/>
      <c r="K604" s="7"/>
      <c r="L604" s="7"/>
      <c r="M604" s="7"/>
      <c r="N604" s="7"/>
    </row>
    <row r="605">
      <c r="A605" s="8"/>
      <c r="I605" s="7"/>
      <c r="J605" s="7"/>
      <c r="K605" s="7"/>
      <c r="L605" s="7"/>
      <c r="M605" s="7"/>
      <c r="N605" s="7"/>
    </row>
    <row r="606">
      <c r="A606" s="8"/>
      <c r="I606" s="7"/>
      <c r="J606" s="7"/>
      <c r="K606" s="7"/>
      <c r="L606" s="7"/>
      <c r="M606" s="7"/>
      <c r="N606" s="7"/>
    </row>
    <row r="607">
      <c r="A607" s="8"/>
      <c r="I607" s="7"/>
      <c r="J607" s="7"/>
      <c r="K607" s="7"/>
      <c r="L607" s="7"/>
      <c r="M607" s="7"/>
      <c r="N607" s="7"/>
    </row>
    <row r="608">
      <c r="A608" s="8"/>
      <c r="I608" s="7"/>
      <c r="J608" s="7"/>
      <c r="K608" s="7"/>
      <c r="L608" s="7"/>
      <c r="M608" s="7"/>
      <c r="N608" s="7"/>
    </row>
    <row r="609">
      <c r="A609" s="8"/>
      <c r="I609" s="7"/>
      <c r="J609" s="7"/>
      <c r="K609" s="7"/>
      <c r="L609" s="7"/>
      <c r="M609" s="7"/>
      <c r="N609" s="7"/>
    </row>
    <row r="610">
      <c r="A610" s="8"/>
      <c r="I610" s="7"/>
      <c r="J610" s="7"/>
      <c r="K610" s="7"/>
      <c r="L610" s="7"/>
      <c r="M610" s="7"/>
      <c r="N610" s="7"/>
    </row>
    <row r="611">
      <c r="A611" s="8"/>
      <c r="I611" s="7"/>
      <c r="J611" s="7"/>
      <c r="K611" s="7"/>
      <c r="L611" s="7"/>
      <c r="M611" s="7"/>
      <c r="N611" s="7"/>
    </row>
    <row r="612">
      <c r="A612" s="8"/>
      <c r="I612" s="7"/>
      <c r="J612" s="7"/>
      <c r="K612" s="7"/>
      <c r="L612" s="7"/>
      <c r="M612" s="7"/>
      <c r="N612" s="7"/>
    </row>
    <row r="613">
      <c r="A613" s="8"/>
      <c r="I613" s="7"/>
      <c r="J613" s="7"/>
      <c r="K613" s="7"/>
      <c r="L613" s="7"/>
      <c r="M613" s="7"/>
      <c r="N613" s="7"/>
    </row>
    <row r="614">
      <c r="A614" s="8"/>
      <c r="I614" s="7"/>
      <c r="J614" s="7"/>
      <c r="K614" s="7"/>
      <c r="L614" s="7"/>
      <c r="M614" s="7"/>
      <c r="N614" s="7"/>
    </row>
    <row r="615">
      <c r="A615" s="8"/>
      <c r="I615" s="7"/>
      <c r="J615" s="7"/>
      <c r="K615" s="7"/>
      <c r="L615" s="7"/>
      <c r="M615" s="7"/>
      <c r="N615" s="7"/>
    </row>
    <row r="616">
      <c r="A616" s="8"/>
      <c r="I616" s="7"/>
      <c r="J616" s="7"/>
      <c r="K616" s="7"/>
      <c r="L616" s="7"/>
      <c r="M616" s="7"/>
      <c r="N616" s="7"/>
    </row>
    <row r="617">
      <c r="A617" s="8"/>
      <c r="I617" s="7"/>
      <c r="J617" s="7"/>
      <c r="K617" s="7"/>
      <c r="L617" s="7"/>
      <c r="M617" s="7"/>
      <c r="N617" s="7"/>
    </row>
    <row r="618">
      <c r="A618" s="8"/>
      <c r="I618" s="7"/>
      <c r="J618" s="7"/>
      <c r="K618" s="7"/>
      <c r="L618" s="7"/>
      <c r="M618" s="7"/>
      <c r="N618" s="7"/>
    </row>
    <row r="619">
      <c r="A619" s="8"/>
      <c r="I619" s="7"/>
      <c r="J619" s="7"/>
      <c r="K619" s="7"/>
      <c r="L619" s="7"/>
      <c r="M619" s="7"/>
      <c r="N619" s="7"/>
    </row>
    <row r="620">
      <c r="A620" s="8"/>
      <c r="I620" s="7"/>
      <c r="J620" s="7"/>
      <c r="K620" s="7"/>
      <c r="L620" s="7"/>
      <c r="M620" s="7"/>
      <c r="N620" s="7"/>
    </row>
    <row r="621">
      <c r="A621" s="8"/>
      <c r="I621" s="7"/>
      <c r="J621" s="7"/>
      <c r="K621" s="7"/>
      <c r="L621" s="7"/>
      <c r="M621" s="7"/>
      <c r="N621" s="7"/>
    </row>
    <row r="622">
      <c r="A622" s="8"/>
      <c r="I622" s="7"/>
      <c r="J622" s="7"/>
      <c r="K622" s="7"/>
      <c r="L622" s="7"/>
      <c r="M622" s="7"/>
      <c r="N622" s="7"/>
    </row>
    <row r="623">
      <c r="A623" s="8"/>
      <c r="I623" s="7"/>
      <c r="J623" s="7"/>
      <c r="K623" s="7"/>
      <c r="L623" s="7"/>
      <c r="M623" s="7"/>
      <c r="N623" s="7"/>
    </row>
    <row r="624">
      <c r="A624" s="8"/>
      <c r="I624" s="7"/>
      <c r="J624" s="7"/>
      <c r="K624" s="7"/>
      <c r="L624" s="7"/>
      <c r="M624" s="7"/>
      <c r="N624" s="7"/>
    </row>
    <row r="625">
      <c r="A625" s="8"/>
      <c r="I625" s="7"/>
      <c r="J625" s="7"/>
      <c r="K625" s="7"/>
      <c r="L625" s="7"/>
      <c r="M625" s="7"/>
      <c r="N625" s="7"/>
    </row>
    <row r="626">
      <c r="A626" s="8"/>
      <c r="I626" s="7"/>
      <c r="J626" s="7"/>
      <c r="K626" s="7"/>
      <c r="L626" s="7"/>
      <c r="M626" s="7"/>
      <c r="N626" s="7"/>
    </row>
    <row r="627">
      <c r="A627" s="8"/>
      <c r="I627" s="7"/>
      <c r="J627" s="7"/>
      <c r="K627" s="7"/>
      <c r="L627" s="7"/>
      <c r="M627" s="7"/>
      <c r="N627" s="7"/>
    </row>
    <row r="628">
      <c r="A628" s="8"/>
      <c r="I628" s="7"/>
      <c r="J628" s="7"/>
      <c r="K628" s="7"/>
      <c r="L628" s="7"/>
      <c r="M628" s="7"/>
      <c r="N628" s="7"/>
    </row>
    <row r="629">
      <c r="A629" s="8"/>
      <c r="I629" s="7"/>
      <c r="J629" s="7"/>
      <c r="K629" s="7"/>
      <c r="L629" s="7"/>
      <c r="M629" s="7"/>
      <c r="N629" s="7"/>
    </row>
    <row r="630">
      <c r="A630" s="8"/>
      <c r="I630" s="7"/>
      <c r="J630" s="7"/>
      <c r="K630" s="7"/>
      <c r="L630" s="7"/>
      <c r="M630" s="7"/>
      <c r="N630" s="7"/>
    </row>
    <row r="631">
      <c r="A631" s="8"/>
      <c r="I631" s="7"/>
      <c r="J631" s="7"/>
      <c r="K631" s="7"/>
      <c r="L631" s="7"/>
      <c r="M631" s="7"/>
      <c r="N631" s="7"/>
    </row>
    <row r="632">
      <c r="A632" s="8"/>
      <c r="I632" s="7"/>
      <c r="J632" s="7"/>
      <c r="K632" s="7"/>
      <c r="L632" s="7"/>
      <c r="M632" s="7"/>
      <c r="N632" s="7"/>
    </row>
    <row r="633">
      <c r="A633" s="8"/>
      <c r="I633" s="7"/>
      <c r="J633" s="7"/>
      <c r="K633" s="7"/>
      <c r="L633" s="7"/>
      <c r="M633" s="7"/>
      <c r="N633" s="7"/>
    </row>
    <row r="634">
      <c r="A634" s="8"/>
      <c r="I634" s="7"/>
      <c r="J634" s="7"/>
      <c r="K634" s="7"/>
      <c r="L634" s="7"/>
      <c r="M634" s="7"/>
      <c r="N634" s="7"/>
    </row>
    <row r="635">
      <c r="A635" s="8"/>
      <c r="I635" s="7"/>
      <c r="J635" s="7"/>
      <c r="K635" s="7"/>
      <c r="L635" s="7"/>
      <c r="M635" s="7"/>
      <c r="N635" s="7"/>
    </row>
    <row r="636">
      <c r="A636" s="8"/>
      <c r="I636" s="7"/>
      <c r="J636" s="7"/>
      <c r="K636" s="7"/>
      <c r="L636" s="7"/>
      <c r="M636" s="7"/>
      <c r="N636" s="7"/>
    </row>
    <row r="637">
      <c r="A637" s="8"/>
      <c r="I637" s="7"/>
      <c r="J637" s="7"/>
      <c r="K637" s="7"/>
      <c r="L637" s="7"/>
      <c r="M637" s="7"/>
      <c r="N637" s="7"/>
    </row>
    <row r="638">
      <c r="A638" s="8"/>
      <c r="I638" s="7"/>
      <c r="J638" s="7"/>
      <c r="K638" s="7"/>
      <c r="L638" s="7"/>
      <c r="M638" s="7"/>
      <c r="N638" s="7"/>
    </row>
    <row r="639">
      <c r="A639" s="8"/>
      <c r="I639" s="7"/>
      <c r="J639" s="7"/>
      <c r="K639" s="7"/>
      <c r="L639" s="7"/>
      <c r="M639" s="7"/>
      <c r="N639" s="7"/>
    </row>
    <row r="640">
      <c r="A640" s="8"/>
      <c r="I640" s="7"/>
      <c r="J640" s="7"/>
      <c r="K640" s="7"/>
      <c r="L640" s="7"/>
      <c r="M640" s="7"/>
      <c r="N640" s="7"/>
    </row>
    <row r="641">
      <c r="A641" s="8"/>
      <c r="I641" s="7"/>
      <c r="J641" s="7"/>
      <c r="K641" s="7"/>
      <c r="L641" s="7"/>
      <c r="M641" s="7"/>
      <c r="N641" s="7"/>
    </row>
    <row r="642">
      <c r="A642" s="8"/>
      <c r="I642" s="7"/>
      <c r="J642" s="7"/>
      <c r="K642" s="7"/>
      <c r="L642" s="7"/>
      <c r="M642" s="7"/>
      <c r="N642" s="7"/>
    </row>
    <row r="643">
      <c r="A643" s="8"/>
      <c r="I643" s="7"/>
      <c r="J643" s="7"/>
      <c r="K643" s="7"/>
      <c r="L643" s="7"/>
      <c r="M643" s="7"/>
      <c r="N643" s="7"/>
    </row>
    <row r="644">
      <c r="A644" s="8"/>
      <c r="I644" s="7"/>
      <c r="J644" s="7"/>
      <c r="K644" s="7"/>
      <c r="L644" s="7"/>
      <c r="M644" s="7"/>
      <c r="N644" s="7"/>
    </row>
    <row r="645">
      <c r="A645" s="8"/>
      <c r="I645" s="7"/>
      <c r="J645" s="7"/>
      <c r="K645" s="7"/>
      <c r="L645" s="7"/>
      <c r="M645" s="7"/>
      <c r="N645" s="7"/>
    </row>
    <row r="646">
      <c r="A646" s="8"/>
      <c r="I646" s="7"/>
      <c r="J646" s="7"/>
      <c r="K646" s="7"/>
      <c r="L646" s="7"/>
      <c r="M646" s="7"/>
      <c r="N646" s="7"/>
    </row>
    <row r="647">
      <c r="A647" s="8"/>
      <c r="I647" s="7"/>
      <c r="J647" s="7"/>
      <c r="K647" s="7"/>
      <c r="L647" s="7"/>
      <c r="M647" s="7"/>
      <c r="N647" s="7"/>
    </row>
    <row r="648">
      <c r="A648" s="8"/>
      <c r="I648" s="7"/>
      <c r="J648" s="7"/>
      <c r="K648" s="7"/>
      <c r="L648" s="7"/>
      <c r="M648" s="7"/>
      <c r="N648" s="7"/>
    </row>
    <row r="649">
      <c r="A649" s="8"/>
      <c r="I649" s="7"/>
      <c r="J649" s="7"/>
      <c r="K649" s="7"/>
      <c r="L649" s="7"/>
      <c r="M649" s="7"/>
      <c r="N649" s="7"/>
    </row>
    <row r="650">
      <c r="A650" s="8"/>
      <c r="I650" s="7"/>
      <c r="J650" s="7"/>
      <c r="K650" s="7"/>
      <c r="L650" s="7"/>
      <c r="M650" s="7"/>
      <c r="N650" s="7"/>
    </row>
    <row r="651">
      <c r="A651" s="8"/>
      <c r="I651" s="7"/>
      <c r="J651" s="7"/>
      <c r="K651" s="7"/>
      <c r="L651" s="7"/>
      <c r="M651" s="7"/>
      <c r="N651" s="7"/>
    </row>
    <row r="652">
      <c r="A652" s="8"/>
      <c r="I652" s="7"/>
      <c r="J652" s="7"/>
      <c r="K652" s="7"/>
      <c r="L652" s="7"/>
      <c r="M652" s="7"/>
      <c r="N652" s="7"/>
    </row>
    <row r="653">
      <c r="A653" s="8"/>
      <c r="I653" s="7"/>
      <c r="J653" s="7"/>
      <c r="K653" s="7"/>
      <c r="L653" s="7"/>
      <c r="M653" s="7"/>
      <c r="N653" s="7"/>
    </row>
    <row r="654">
      <c r="A654" s="8"/>
      <c r="I654" s="7"/>
      <c r="J654" s="7"/>
      <c r="K654" s="7"/>
      <c r="L654" s="7"/>
      <c r="M654" s="7"/>
      <c r="N654" s="7"/>
    </row>
    <row r="655">
      <c r="A655" s="8"/>
      <c r="I655" s="7"/>
      <c r="J655" s="7"/>
      <c r="K655" s="7"/>
      <c r="L655" s="7"/>
      <c r="M655" s="7"/>
      <c r="N655" s="7"/>
    </row>
    <row r="656">
      <c r="A656" s="8"/>
      <c r="I656" s="7"/>
      <c r="J656" s="7"/>
      <c r="K656" s="7"/>
      <c r="L656" s="7"/>
      <c r="M656" s="7"/>
      <c r="N656" s="7"/>
    </row>
    <row r="657">
      <c r="A657" s="8"/>
      <c r="I657" s="7"/>
      <c r="J657" s="7"/>
      <c r="K657" s="7"/>
      <c r="L657" s="7"/>
      <c r="M657" s="7"/>
      <c r="N657" s="7"/>
    </row>
    <row r="658">
      <c r="A658" s="8"/>
      <c r="I658" s="7"/>
      <c r="J658" s="7"/>
      <c r="K658" s="7"/>
      <c r="L658" s="7"/>
      <c r="M658" s="7"/>
      <c r="N658" s="7"/>
    </row>
    <row r="659">
      <c r="A659" s="8"/>
      <c r="I659" s="7"/>
      <c r="J659" s="7"/>
      <c r="K659" s="7"/>
      <c r="L659" s="7"/>
      <c r="M659" s="7"/>
      <c r="N659" s="7"/>
    </row>
    <row r="660">
      <c r="A660" s="8"/>
      <c r="I660" s="7"/>
      <c r="J660" s="7"/>
      <c r="K660" s="7"/>
      <c r="L660" s="7"/>
      <c r="M660" s="7"/>
      <c r="N660" s="7"/>
    </row>
    <row r="661">
      <c r="A661" s="8"/>
      <c r="I661" s="7"/>
      <c r="J661" s="7"/>
      <c r="K661" s="7"/>
      <c r="L661" s="7"/>
      <c r="M661" s="7"/>
      <c r="N661" s="7"/>
    </row>
    <row r="662">
      <c r="A662" s="8"/>
      <c r="I662" s="7"/>
      <c r="J662" s="7"/>
      <c r="K662" s="7"/>
      <c r="L662" s="7"/>
      <c r="M662" s="7"/>
      <c r="N662" s="7"/>
    </row>
    <row r="663">
      <c r="A663" s="8"/>
      <c r="I663" s="7"/>
      <c r="J663" s="7"/>
      <c r="K663" s="7"/>
      <c r="L663" s="7"/>
      <c r="M663" s="7"/>
      <c r="N663" s="7"/>
    </row>
    <row r="664">
      <c r="A664" s="8"/>
      <c r="I664" s="7"/>
      <c r="J664" s="7"/>
      <c r="K664" s="7"/>
      <c r="L664" s="7"/>
      <c r="M664" s="7"/>
      <c r="N664" s="7"/>
    </row>
    <row r="665">
      <c r="A665" s="8"/>
      <c r="I665" s="7"/>
      <c r="J665" s="7"/>
      <c r="K665" s="7"/>
      <c r="L665" s="7"/>
      <c r="M665" s="7"/>
      <c r="N665" s="7"/>
    </row>
    <row r="666">
      <c r="A666" s="8"/>
      <c r="I666" s="7"/>
      <c r="J666" s="7"/>
      <c r="K666" s="7"/>
      <c r="L666" s="7"/>
      <c r="M666" s="7"/>
      <c r="N666" s="7"/>
    </row>
    <row r="667">
      <c r="A667" s="8"/>
      <c r="I667" s="7"/>
      <c r="J667" s="7"/>
      <c r="K667" s="7"/>
      <c r="L667" s="7"/>
      <c r="M667" s="7"/>
      <c r="N667" s="7"/>
    </row>
    <row r="668">
      <c r="A668" s="8"/>
      <c r="I668" s="7"/>
      <c r="J668" s="7"/>
      <c r="K668" s="7"/>
      <c r="L668" s="7"/>
      <c r="M668" s="7"/>
      <c r="N668" s="7"/>
    </row>
    <row r="669">
      <c r="A669" s="8"/>
      <c r="I669" s="7"/>
      <c r="J669" s="7"/>
      <c r="K669" s="7"/>
      <c r="L669" s="7"/>
      <c r="M669" s="7"/>
      <c r="N669" s="7"/>
    </row>
    <row r="670">
      <c r="A670" s="8"/>
      <c r="I670" s="7"/>
      <c r="J670" s="7"/>
      <c r="K670" s="7"/>
      <c r="L670" s="7"/>
      <c r="M670" s="7"/>
      <c r="N670" s="7"/>
    </row>
    <row r="671">
      <c r="A671" s="8"/>
      <c r="I671" s="7"/>
      <c r="J671" s="7"/>
      <c r="K671" s="7"/>
      <c r="L671" s="7"/>
      <c r="M671" s="7"/>
      <c r="N671" s="7"/>
    </row>
    <row r="672">
      <c r="A672" s="8"/>
      <c r="I672" s="7"/>
      <c r="J672" s="7"/>
      <c r="K672" s="7"/>
      <c r="L672" s="7"/>
      <c r="M672" s="7"/>
      <c r="N672" s="7"/>
    </row>
    <row r="673">
      <c r="A673" s="8"/>
      <c r="I673" s="7"/>
      <c r="J673" s="7"/>
      <c r="K673" s="7"/>
      <c r="L673" s="7"/>
      <c r="M673" s="7"/>
      <c r="N673" s="7"/>
    </row>
    <row r="674">
      <c r="A674" s="8"/>
      <c r="I674" s="7"/>
      <c r="J674" s="7"/>
      <c r="K674" s="7"/>
      <c r="L674" s="7"/>
      <c r="M674" s="7"/>
      <c r="N674" s="7"/>
    </row>
    <row r="675">
      <c r="A675" s="8"/>
      <c r="I675" s="7"/>
      <c r="J675" s="7"/>
      <c r="K675" s="7"/>
      <c r="L675" s="7"/>
      <c r="M675" s="7"/>
      <c r="N675" s="7"/>
    </row>
    <row r="676">
      <c r="A676" s="8"/>
      <c r="I676" s="7"/>
      <c r="J676" s="7"/>
      <c r="K676" s="7"/>
      <c r="L676" s="7"/>
      <c r="M676" s="7"/>
      <c r="N676" s="7"/>
    </row>
    <row r="677">
      <c r="A677" s="8"/>
      <c r="I677" s="7"/>
      <c r="J677" s="7"/>
      <c r="K677" s="7"/>
      <c r="L677" s="7"/>
      <c r="M677" s="7"/>
      <c r="N677" s="7"/>
    </row>
    <row r="678">
      <c r="A678" s="8"/>
      <c r="I678" s="7"/>
      <c r="J678" s="7"/>
      <c r="K678" s="7"/>
      <c r="L678" s="7"/>
      <c r="M678" s="7"/>
      <c r="N678" s="7"/>
    </row>
    <row r="679">
      <c r="A679" s="8"/>
      <c r="I679" s="7"/>
      <c r="J679" s="7"/>
      <c r="K679" s="7"/>
      <c r="L679" s="7"/>
      <c r="M679" s="7"/>
      <c r="N679" s="7"/>
    </row>
    <row r="680">
      <c r="A680" s="8"/>
      <c r="I680" s="7"/>
      <c r="J680" s="7"/>
      <c r="K680" s="7"/>
      <c r="L680" s="7"/>
      <c r="M680" s="7"/>
      <c r="N680" s="7"/>
    </row>
    <row r="681">
      <c r="A681" s="8"/>
      <c r="I681" s="7"/>
      <c r="J681" s="7"/>
      <c r="K681" s="7"/>
      <c r="L681" s="7"/>
      <c r="M681" s="7"/>
      <c r="N681" s="7"/>
    </row>
    <row r="682">
      <c r="A682" s="8"/>
      <c r="I682" s="7"/>
      <c r="J682" s="7"/>
      <c r="K682" s="7"/>
      <c r="L682" s="7"/>
      <c r="M682" s="7"/>
      <c r="N682" s="7"/>
    </row>
    <row r="683">
      <c r="A683" s="8"/>
      <c r="I683" s="7"/>
      <c r="J683" s="7"/>
      <c r="K683" s="7"/>
      <c r="L683" s="7"/>
      <c r="M683" s="7"/>
      <c r="N683" s="7"/>
    </row>
    <row r="684">
      <c r="A684" s="8"/>
      <c r="I684" s="7"/>
      <c r="J684" s="7"/>
      <c r="K684" s="7"/>
      <c r="L684" s="7"/>
      <c r="M684" s="7"/>
      <c r="N684" s="7"/>
    </row>
    <row r="685">
      <c r="A685" s="8"/>
      <c r="I685" s="7"/>
      <c r="J685" s="7"/>
      <c r="K685" s="7"/>
      <c r="L685" s="7"/>
      <c r="M685" s="7"/>
      <c r="N685" s="7"/>
    </row>
    <row r="686">
      <c r="A686" s="8"/>
      <c r="I686" s="7"/>
      <c r="J686" s="7"/>
      <c r="K686" s="7"/>
      <c r="L686" s="7"/>
      <c r="M686" s="7"/>
      <c r="N686" s="7"/>
    </row>
    <row r="687">
      <c r="A687" s="8"/>
      <c r="I687" s="7"/>
      <c r="J687" s="7"/>
      <c r="K687" s="7"/>
      <c r="L687" s="7"/>
      <c r="M687" s="7"/>
      <c r="N687" s="7"/>
    </row>
    <row r="688">
      <c r="A688" s="8"/>
      <c r="I688" s="7"/>
      <c r="J688" s="7"/>
      <c r="K688" s="7"/>
      <c r="L688" s="7"/>
      <c r="M688" s="7"/>
      <c r="N688" s="7"/>
    </row>
    <row r="689">
      <c r="A689" s="8"/>
      <c r="I689" s="7"/>
      <c r="J689" s="7"/>
      <c r="K689" s="7"/>
      <c r="L689" s="7"/>
      <c r="M689" s="7"/>
      <c r="N689" s="7"/>
    </row>
    <row r="690">
      <c r="A690" s="8"/>
      <c r="I690" s="7"/>
      <c r="J690" s="7"/>
      <c r="K690" s="7"/>
      <c r="L690" s="7"/>
      <c r="M690" s="7"/>
      <c r="N690" s="7"/>
    </row>
    <row r="691">
      <c r="A691" s="8"/>
      <c r="I691" s="7"/>
      <c r="J691" s="7"/>
      <c r="K691" s="7"/>
      <c r="L691" s="7"/>
      <c r="M691" s="7"/>
      <c r="N691" s="7"/>
    </row>
    <row r="692">
      <c r="A692" s="8"/>
      <c r="I692" s="7"/>
      <c r="J692" s="7"/>
      <c r="K692" s="7"/>
      <c r="L692" s="7"/>
      <c r="M692" s="7"/>
      <c r="N692" s="7"/>
    </row>
    <row r="693">
      <c r="A693" s="8"/>
      <c r="I693" s="7"/>
      <c r="J693" s="7"/>
      <c r="K693" s="7"/>
      <c r="L693" s="7"/>
      <c r="M693" s="7"/>
      <c r="N693" s="7"/>
    </row>
    <row r="694">
      <c r="A694" s="8"/>
      <c r="I694" s="7"/>
      <c r="J694" s="7"/>
      <c r="K694" s="7"/>
      <c r="L694" s="7"/>
      <c r="M694" s="7"/>
      <c r="N694" s="7"/>
    </row>
    <row r="695">
      <c r="A695" s="8"/>
      <c r="I695" s="7"/>
      <c r="J695" s="7"/>
      <c r="K695" s="7"/>
      <c r="L695" s="7"/>
      <c r="M695" s="7"/>
      <c r="N695" s="7"/>
    </row>
    <row r="696">
      <c r="A696" s="8"/>
      <c r="I696" s="7"/>
      <c r="J696" s="7"/>
      <c r="K696" s="7"/>
      <c r="L696" s="7"/>
      <c r="M696" s="7"/>
      <c r="N696" s="7"/>
    </row>
    <row r="697">
      <c r="A697" s="8"/>
      <c r="I697" s="7"/>
      <c r="J697" s="7"/>
      <c r="K697" s="7"/>
      <c r="L697" s="7"/>
      <c r="M697" s="7"/>
      <c r="N697" s="7"/>
    </row>
    <row r="698">
      <c r="A698" s="8"/>
      <c r="I698" s="7"/>
      <c r="J698" s="7"/>
      <c r="K698" s="7"/>
      <c r="L698" s="7"/>
      <c r="M698" s="7"/>
      <c r="N698" s="7"/>
    </row>
    <row r="699">
      <c r="A699" s="8"/>
      <c r="I699" s="7"/>
      <c r="J699" s="7"/>
      <c r="K699" s="7"/>
      <c r="L699" s="7"/>
      <c r="M699" s="7"/>
      <c r="N699" s="7"/>
    </row>
    <row r="700">
      <c r="A700" s="8"/>
      <c r="I700" s="7"/>
      <c r="J700" s="7"/>
      <c r="K700" s="7"/>
      <c r="L700" s="7"/>
      <c r="M700" s="7"/>
      <c r="N700" s="7"/>
    </row>
    <row r="701">
      <c r="A701" s="8"/>
      <c r="I701" s="7"/>
      <c r="J701" s="7"/>
      <c r="K701" s="7"/>
      <c r="L701" s="7"/>
      <c r="M701" s="7"/>
      <c r="N701" s="7"/>
    </row>
    <row r="702">
      <c r="A702" s="8"/>
      <c r="I702" s="7"/>
      <c r="J702" s="7"/>
      <c r="K702" s="7"/>
      <c r="L702" s="7"/>
      <c r="M702" s="7"/>
      <c r="N702" s="7"/>
    </row>
    <row r="703">
      <c r="A703" s="8"/>
      <c r="I703" s="7"/>
      <c r="J703" s="7"/>
      <c r="K703" s="7"/>
      <c r="L703" s="7"/>
      <c r="M703" s="7"/>
      <c r="N703" s="7"/>
    </row>
    <row r="704">
      <c r="A704" s="8"/>
      <c r="I704" s="7"/>
      <c r="J704" s="7"/>
      <c r="K704" s="7"/>
      <c r="L704" s="7"/>
      <c r="M704" s="7"/>
      <c r="N704" s="7"/>
    </row>
    <row r="705">
      <c r="A705" s="8"/>
      <c r="I705" s="7"/>
      <c r="J705" s="7"/>
      <c r="K705" s="7"/>
      <c r="L705" s="7"/>
      <c r="M705" s="7"/>
      <c r="N705" s="7"/>
    </row>
    <row r="706">
      <c r="A706" s="8"/>
      <c r="I706" s="7"/>
      <c r="J706" s="7"/>
      <c r="K706" s="7"/>
      <c r="L706" s="7"/>
      <c r="M706" s="7"/>
      <c r="N706" s="7"/>
    </row>
    <row r="707">
      <c r="A707" s="8"/>
      <c r="I707" s="7"/>
      <c r="J707" s="7"/>
      <c r="K707" s="7"/>
      <c r="L707" s="7"/>
      <c r="M707" s="7"/>
      <c r="N707" s="7"/>
    </row>
    <row r="708">
      <c r="A708" s="8"/>
      <c r="I708" s="7"/>
      <c r="J708" s="7"/>
      <c r="K708" s="7"/>
      <c r="L708" s="7"/>
      <c r="M708" s="7"/>
      <c r="N708" s="7"/>
    </row>
    <row r="709">
      <c r="A709" s="8"/>
      <c r="I709" s="7"/>
      <c r="J709" s="7"/>
      <c r="K709" s="7"/>
      <c r="L709" s="7"/>
      <c r="M709" s="7"/>
      <c r="N709" s="7"/>
    </row>
    <row r="710">
      <c r="A710" s="8"/>
      <c r="I710" s="7"/>
      <c r="J710" s="7"/>
      <c r="K710" s="7"/>
      <c r="L710" s="7"/>
      <c r="M710" s="7"/>
      <c r="N710" s="7"/>
    </row>
    <row r="711">
      <c r="A711" s="8"/>
      <c r="I711" s="7"/>
      <c r="J711" s="7"/>
      <c r="K711" s="7"/>
      <c r="L711" s="7"/>
      <c r="M711" s="7"/>
      <c r="N711" s="7"/>
    </row>
    <row r="712">
      <c r="A712" s="8"/>
      <c r="I712" s="7"/>
      <c r="J712" s="7"/>
      <c r="K712" s="7"/>
      <c r="L712" s="7"/>
      <c r="M712" s="7"/>
      <c r="N712" s="7"/>
    </row>
    <row r="713">
      <c r="A713" s="8"/>
      <c r="I713" s="7"/>
      <c r="J713" s="7"/>
      <c r="K713" s="7"/>
      <c r="L713" s="7"/>
      <c r="M713" s="7"/>
      <c r="N713" s="7"/>
    </row>
    <row r="714">
      <c r="A714" s="8"/>
      <c r="I714" s="7"/>
      <c r="J714" s="7"/>
      <c r="K714" s="7"/>
      <c r="L714" s="7"/>
      <c r="M714" s="7"/>
      <c r="N714" s="7"/>
    </row>
    <row r="715">
      <c r="A715" s="8"/>
      <c r="I715" s="7"/>
      <c r="J715" s="7"/>
      <c r="K715" s="7"/>
      <c r="L715" s="7"/>
      <c r="M715" s="7"/>
      <c r="N715" s="7"/>
    </row>
    <row r="716">
      <c r="A716" s="8"/>
      <c r="I716" s="7"/>
      <c r="J716" s="7"/>
      <c r="K716" s="7"/>
      <c r="L716" s="7"/>
      <c r="M716" s="7"/>
      <c r="N716" s="7"/>
    </row>
    <row r="717">
      <c r="A717" s="8"/>
      <c r="I717" s="7"/>
      <c r="J717" s="7"/>
      <c r="K717" s="7"/>
      <c r="L717" s="7"/>
      <c r="M717" s="7"/>
      <c r="N717" s="7"/>
    </row>
    <row r="718">
      <c r="A718" s="8"/>
      <c r="I718" s="7"/>
      <c r="J718" s="7"/>
      <c r="K718" s="7"/>
      <c r="L718" s="7"/>
      <c r="M718" s="7"/>
      <c r="N718" s="7"/>
    </row>
    <row r="719">
      <c r="A719" s="8"/>
      <c r="I719" s="7"/>
      <c r="J719" s="7"/>
      <c r="K719" s="7"/>
      <c r="L719" s="7"/>
      <c r="M719" s="7"/>
      <c r="N719" s="7"/>
    </row>
    <row r="720">
      <c r="A720" s="8"/>
      <c r="I720" s="7"/>
      <c r="J720" s="7"/>
      <c r="K720" s="7"/>
      <c r="L720" s="7"/>
      <c r="M720" s="7"/>
      <c r="N720" s="7"/>
    </row>
    <row r="721">
      <c r="A721" s="8"/>
      <c r="I721" s="7"/>
      <c r="J721" s="7"/>
      <c r="K721" s="7"/>
      <c r="L721" s="7"/>
      <c r="M721" s="7"/>
      <c r="N721" s="7"/>
    </row>
    <row r="722">
      <c r="A722" s="8"/>
      <c r="I722" s="7"/>
      <c r="J722" s="7"/>
      <c r="K722" s="7"/>
      <c r="L722" s="7"/>
      <c r="M722" s="7"/>
      <c r="N722" s="7"/>
    </row>
    <row r="723">
      <c r="A723" s="8"/>
      <c r="I723" s="7"/>
      <c r="J723" s="7"/>
      <c r="K723" s="7"/>
      <c r="L723" s="7"/>
      <c r="M723" s="7"/>
      <c r="N723" s="7"/>
    </row>
    <row r="724">
      <c r="A724" s="8"/>
      <c r="I724" s="7"/>
      <c r="J724" s="7"/>
      <c r="K724" s="7"/>
      <c r="L724" s="7"/>
      <c r="M724" s="7"/>
      <c r="N724" s="7"/>
    </row>
    <row r="725">
      <c r="A725" s="8"/>
      <c r="I725" s="7"/>
      <c r="J725" s="7"/>
      <c r="K725" s="7"/>
      <c r="L725" s="7"/>
      <c r="M725" s="7"/>
      <c r="N725" s="7"/>
    </row>
    <row r="726">
      <c r="A726" s="8"/>
      <c r="I726" s="7"/>
      <c r="J726" s="7"/>
      <c r="K726" s="7"/>
      <c r="L726" s="7"/>
      <c r="M726" s="7"/>
      <c r="N726" s="7"/>
    </row>
    <row r="727">
      <c r="A727" s="8"/>
      <c r="I727" s="7"/>
      <c r="J727" s="7"/>
      <c r="K727" s="7"/>
      <c r="L727" s="7"/>
      <c r="M727" s="7"/>
      <c r="N727" s="7"/>
    </row>
    <row r="728">
      <c r="A728" s="8"/>
      <c r="I728" s="7"/>
      <c r="J728" s="7"/>
      <c r="K728" s="7"/>
      <c r="L728" s="7"/>
      <c r="M728" s="7"/>
      <c r="N728" s="7"/>
    </row>
    <row r="729">
      <c r="A729" s="8"/>
      <c r="I729" s="7"/>
      <c r="J729" s="7"/>
      <c r="K729" s="7"/>
      <c r="L729" s="7"/>
      <c r="M729" s="7"/>
      <c r="N729" s="7"/>
    </row>
    <row r="730">
      <c r="A730" s="8"/>
      <c r="I730" s="7"/>
      <c r="J730" s="7"/>
      <c r="K730" s="7"/>
      <c r="L730" s="7"/>
      <c r="M730" s="7"/>
      <c r="N730" s="7"/>
    </row>
    <row r="731">
      <c r="A731" s="8"/>
      <c r="I731" s="7"/>
      <c r="J731" s="7"/>
      <c r="K731" s="7"/>
      <c r="L731" s="7"/>
      <c r="M731" s="7"/>
      <c r="N731" s="7"/>
    </row>
    <row r="732">
      <c r="A732" s="8"/>
      <c r="I732" s="7"/>
      <c r="J732" s="7"/>
      <c r="K732" s="7"/>
      <c r="L732" s="7"/>
      <c r="M732" s="7"/>
      <c r="N732" s="7"/>
    </row>
    <row r="733">
      <c r="A733" s="8"/>
      <c r="I733" s="7"/>
      <c r="J733" s="7"/>
      <c r="K733" s="7"/>
      <c r="L733" s="7"/>
      <c r="M733" s="7"/>
      <c r="N733" s="7"/>
    </row>
    <row r="734">
      <c r="A734" s="8"/>
      <c r="I734" s="7"/>
      <c r="J734" s="7"/>
      <c r="K734" s="7"/>
      <c r="L734" s="7"/>
      <c r="M734" s="7"/>
      <c r="N734" s="7"/>
    </row>
    <row r="735">
      <c r="A735" s="8"/>
      <c r="I735" s="7"/>
      <c r="J735" s="7"/>
      <c r="K735" s="7"/>
      <c r="L735" s="7"/>
      <c r="M735" s="7"/>
      <c r="N735" s="7"/>
    </row>
    <row r="736">
      <c r="A736" s="8"/>
      <c r="I736" s="7"/>
      <c r="J736" s="7"/>
      <c r="K736" s="7"/>
      <c r="L736" s="7"/>
      <c r="M736" s="7"/>
      <c r="N736" s="7"/>
    </row>
    <row r="737">
      <c r="A737" s="8"/>
      <c r="I737" s="7"/>
      <c r="J737" s="7"/>
      <c r="K737" s="7"/>
      <c r="L737" s="7"/>
      <c r="M737" s="7"/>
      <c r="N737" s="7"/>
    </row>
    <row r="738">
      <c r="A738" s="8"/>
      <c r="I738" s="7"/>
      <c r="J738" s="7"/>
      <c r="K738" s="7"/>
      <c r="L738" s="7"/>
      <c r="M738" s="7"/>
      <c r="N738" s="7"/>
    </row>
    <row r="739">
      <c r="A739" s="8"/>
      <c r="I739" s="7"/>
      <c r="J739" s="7"/>
      <c r="K739" s="7"/>
      <c r="L739" s="7"/>
      <c r="M739" s="7"/>
      <c r="N739" s="7"/>
    </row>
    <row r="740">
      <c r="A740" s="8"/>
      <c r="I740" s="7"/>
      <c r="J740" s="7"/>
      <c r="K740" s="7"/>
      <c r="L740" s="7"/>
      <c r="M740" s="7"/>
      <c r="N740" s="7"/>
    </row>
    <row r="741">
      <c r="A741" s="8"/>
      <c r="I741" s="7"/>
      <c r="J741" s="7"/>
      <c r="K741" s="7"/>
      <c r="L741" s="7"/>
      <c r="M741" s="7"/>
      <c r="N741" s="7"/>
    </row>
    <row r="742">
      <c r="A742" s="8"/>
      <c r="I742" s="7"/>
      <c r="J742" s="7"/>
      <c r="K742" s="7"/>
      <c r="L742" s="7"/>
      <c r="M742" s="7"/>
      <c r="N742" s="7"/>
    </row>
    <row r="743">
      <c r="A743" s="8"/>
      <c r="I743" s="7"/>
      <c r="J743" s="7"/>
      <c r="K743" s="7"/>
      <c r="L743" s="7"/>
      <c r="M743" s="7"/>
      <c r="N743" s="7"/>
    </row>
    <row r="744">
      <c r="A744" s="8"/>
      <c r="I744" s="7"/>
      <c r="J744" s="7"/>
      <c r="K744" s="7"/>
      <c r="L744" s="7"/>
      <c r="M744" s="7"/>
      <c r="N744" s="7"/>
    </row>
    <row r="745">
      <c r="A745" s="8"/>
      <c r="I745" s="7"/>
      <c r="J745" s="7"/>
      <c r="K745" s="7"/>
      <c r="L745" s="7"/>
      <c r="M745" s="7"/>
      <c r="N745" s="7"/>
    </row>
    <row r="746">
      <c r="A746" s="8"/>
      <c r="I746" s="7"/>
      <c r="J746" s="7"/>
      <c r="K746" s="7"/>
      <c r="L746" s="7"/>
      <c r="M746" s="7"/>
      <c r="N746" s="7"/>
    </row>
    <row r="747">
      <c r="A747" s="8"/>
      <c r="I747" s="7"/>
      <c r="J747" s="7"/>
      <c r="K747" s="7"/>
      <c r="L747" s="7"/>
      <c r="M747" s="7"/>
      <c r="N747" s="7"/>
    </row>
    <row r="748">
      <c r="A748" s="8"/>
      <c r="I748" s="7"/>
      <c r="J748" s="7"/>
      <c r="K748" s="7"/>
      <c r="L748" s="7"/>
      <c r="M748" s="7"/>
      <c r="N748" s="7"/>
    </row>
    <row r="749">
      <c r="A749" s="8"/>
      <c r="I749" s="7"/>
      <c r="J749" s="7"/>
      <c r="K749" s="7"/>
      <c r="L749" s="7"/>
      <c r="M749" s="7"/>
      <c r="N749" s="7"/>
    </row>
    <row r="750">
      <c r="A750" s="8"/>
      <c r="I750" s="7"/>
      <c r="J750" s="7"/>
      <c r="K750" s="7"/>
      <c r="L750" s="7"/>
      <c r="M750" s="7"/>
      <c r="N750" s="7"/>
    </row>
    <row r="751">
      <c r="A751" s="8"/>
      <c r="I751" s="7"/>
      <c r="J751" s="7"/>
      <c r="K751" s="7"/>
      <c r="L751" s="7"/>
      <c r="M751" s="7"/>
      <c r="N751" s="7"/>
    </row>
    <row r="752">
      <c r="A752" s="8"/>
      <c r="I752" s="7"/>
      <c r="J752" s="7"/>
      <c r="K752" s="7"/>
      <c r="L752" s="7"/>
      <c r="M752" s="7"/>
      <c r="N752" s="7"/>
    </row>
    <row r="753">
      <c r="A753" s="8"/>
      <c r="I753" s="7"/>
      <c r="J753" s="7"/>
      <c r="K753" s="7"/>
      <c r="L753" s="7"/>
      <c r="M753" s="7"/>
      <c r="N753" s="7"/>
    </row>
    <row r="754">
      <c r="A754" s="8"/>
      <c r="I754" s="7"/>
      <c r="J754" s="7"/>
      <c r="K754" s="7"/>
      <c r="L754" s="7"/>
      <c r="M754" s="7"/>
      <c r="N754" s="7"/>
    </row>
    <row r="755">
      <c r="A755" s="8"/>
      <c r="I755" s="7"/>
      <c r="J755" s="7"/>
      <c r="K755" s="7"/>
      <c r="L755" s="7"/>
      <c r="M755" s="7"/>
      <c r="N755" s="7"/>
    </row>
    <row r="756">
      <c r="A756" s="8"/>
      <c r="I756" s="7"/>
      <c r="J756" s="7"/>
      <c r="K756" s="7"/>
      <c r="L756" s="7"/>
      <c r="M756" s="7"/>
      <c r="N756" s="7"/>
    </row>
    <row r="757">
      <c r="A757" s="8"/>
      <c r="I757" s="7"/>
      <c r="J757" s="7"/>
      <c r="K757" s="7"/>
      <c r="L757" s="7"/>
      <c r="M757" s="7"/>
      <c r="N757" s="7"/>
    </row>
    <row r="758">
      <c r="A758" s="8"/>
      <c r="I758" s="7"/>
      <c r="J758" s="7"/>
      <c r="K758" s="7"/>
      <c r="L758" s="7"/>
      <c r="M758" s="7"/>
      <c r="N758" s="7"/>
    </row>
    <row r="759">
      <c r="A759" s="8"/>
      <c r="I759" s="7"/>
      <c r="J759" s="7"/>
      <c r="K759" s="7"/>
      <c r="L759" s="7"/>
      <c r="M759" s="7"/>
      <c r="N759" s="7"/>
    </row>
    <row r="760">
      <c r="A760" s="8"/>
      <c r="I760" s="7"/>
      <c r="J760" s="7"/>
      <c r="K760" s="7"/>
      <c r="L760" s="7"/>
      <c r="M760" s="7"/>
      <c r="N760" s="7"/>
    </row>
    <row r="761">
      <c r="A761" s="8"/>
      <c r="I761" s="7"/>
      <c r="J761" s="7"/>
      <c r="K761" s="7"/>
      <c r="L761" s="7"/>
      <c r="M761" s="7"/>
      <c r="N761" s="7"/>
    </row>
    <row r="762">
      <c r="A762" s="8"/>
      <c r="I762" s="7"/>
      <c r="J762" s="7"/>
      <c r="K762" s="7"/>
      <c r="L762" s="7"/>
      <c r="M762" s="7"/>
      <c r="N762" s="7"/>
    </row>
    <row r="763">
      <c r="A763" s="8"/>
      <c r="I763" s="7"/>
      <c r="J763" s="7"/>
      <c r="K763" s="7"/>
      <c r="L763" s="7"/>
      <c r="M763" s="7"/>
      <c r="N763" s="7"/>
    </row>
    <row r="764">
      <c r="A764" s="8"/>
      <c r="I764" s="7"/>
      <c r="J764" s="7"/>
      <c r="K764" s="7"/>
      <c r="L764" s="7"/>
      <c r="M764" s="7"/>
      <c r="N764" s="7"/>
    </row>
    <row r="765">
      <c r="A765" s="8"/>
      <c r="I765" s="7"/>
      <c r="J765" s="7"/>
      <c r="K765" s="7"/>
      <c r="L765" s="7"/>
      <c r="M765" s="7"/>
      <c r="N765" s="7"/>
    </row>
    <row r="766">
      <c r="A766" s="8"/>
      <c r="I766" s="7"/>
      <c r="J766" s="7"/>
      <c r="K766" s="7"/>
      <c r="L766" s="7"/>
      <c r="M766" s="7"/>
      <c r="N766" s="7"/>
    </row>
    <row r="767">
      <c r="A767" s="8"/>
      <c r="I767" s="7"/>
      <c r="J767" s="7"/>
      <c r="K767" s="7"/>
      <c r="L767" s="7"/>
      <c r="M767" s="7"/>
      <c r="N767" s="7"/>
    </row>
    <row r="768">
      <c r="A768" s="8"/>
      <c r="I768" s="7"/>
      <c r="J768" s="7"/>
      <c r="K768" s="7"/>
      <c r="L768" s="7"/>
      <c r="M768" s="7"/>
      <c r="N768" s="7"/>
    </row>
    <row r="769">
      <c r="A769" s="8"/>
      <c r="I769" s="7"/>
      <c r="J769" s="7"/>
      <c r="K769" s="7"/>
      <c r="L769" s="7"/>
      <c r="M769" s="7"/>
      <c r="N769" s="7"/>
    </row>
    <row r="770">
      <c r="A770" s="8"/>
      <c r="I770" s="7"/>
      <c r="J770" s="7"/>
      <c r="K770" s="7"/>
      <c r="L770" s="7"/>
      <c r="M770" s="7"/>
      <c r="N770" s="7"/>
    </row>
    <row r="771">
      <c r="A771" s="8"/>
      <c r="I771" s="7"/>
      <c r="J771" s="7"/>
      <c r="K771" s="7"/>
      <c r="L771" s="7"/>
      <c r="M771" s="7"/>
      <c r="N771" s="7"/>
    </row>
    <row r="772">
      <c r="A772" s="8"/>
      <c r="I772" s="7"/>
      <c r="J772" s="7"/>
      <c r="K772" s="7"/>
      <c r="L772" s="7"/>
      <c r="M772" s="7"/>
      <c r="N772" s="7"/>
    </row>
    <row r="773">
      <c r="A773" s="8"/>
      <c r="I773" s="7"/>
      <c r="J773" s="7"/>
      <c r="K773" s="7"/>
      <c r="L773" s="7"/>
      <c r="M773" s="7"/>
      <c r="N773" s="7"/>
    </row>
    <row r="774">
      <c r="A774" s="8"/>
      <c r="I774" s="7"/>
      <c r="J774" s="7"/>
      <c r="K774" s="7"/>
      <c r="L774" s="7"/>
      <c r="M774" s="7"/>
      <c r="N774" s="7"/>
    </row>
    <row r="775">
      <c r="A775" s="8"/>
      <c r="I775" s="7"/>
      <c r="J775" s="7"/>
      <c r="K775" s="7"/>
      <c r="L775" s="7"/>
      <c r="M775" s="7"/>
      <c r="N775" s="7"/>
    </row>
    <row r="776">
      <c r="A776" s="8"/>
      <c r="I776" s="7"/>
      <c r="J776" s="7"/>
      <c r="K776" s="7"/>
      <c r="L776" s="7"/>
      <c r="M776" s="7"/>
      <c r="N776" s="7"/>
    </row>
    <row r="777">
      <c r="A777" s="8"/>
      <c r="I777" s="7"/>
      <c r="J777" s="7"/>
      <c r="K777" s="7"/>
      <c r="L777" s="7"/>
      <c r="M777" s="7"/>
      <c r="N777" s="7"/>
    </row>
    <row r="778">
      <c r="A778" s="8"/>
      <c r="I778" s="7"/>
      <c r="J778" s="7"/>
      <c r="K778" s="7"/>
      <c r="L778" s="7"/>
      <c r="M778" s="7"/>
      <c r="N778" s="7"/>
    </row>
    <row r="779">
      <c r="A779" s="8"/>
      <c r="I779" s="7"/>
      <c r="J779" s="7"/>
      <c r="K779" s="7"/>
      <c r="L779" s="7"/>
      <c r="M779" s="7"/>
      <c r="N779" s="7"/>
    </row>
    <row r="780">
      <c r="A780" s="8"/>
      <c r="I780" s="7"/>
      <c r="J780" s="7"/>
      <c r="K780" s="7"/>
      <c r="L780" s="7"/>
      <c r="M780" s="7"/>
      <c r="N780" s="7"/>
    </row>
    <row r="781">
      <c r="A781" s="8"/>
      <c r="I781" s="7"/>
      <c r="J781" s="7"/>
      <c r="K781" s="7"/>
      <c r="L781" s="7"/>
      <c r="M781" s="7"/>
      <c r="N781" s="7"/>
    </row>
    <row r="782">
      <c r="A782" s="8"/>
      <c r="I782" s="7"/>
      <c r="J782" s="7"/>
      <c r="K782" s="7"/>
      <c r="L782" s="7"/>
      <c r="M782" s="7"/>
      <c r="N782" s="7"/>
    </row>
    <row r="783">
      <c r="A783" s="8"/>
      <c r="I783" s="7"/>
      <c r="J783" s="7"/>
      <c r="K783" s="7"/>
      <c r="L783" s="7"/>
      <c r="M783" s="7"/>
      <c r="N783" s="7"/>
    </row>
    <row r="784">
      <c r="A784" s="8"/>
      <c r="I784" s="7"/>
      <c r="J784" s="7"/>
      <c r="K784" s="7"/>
      <c r="L784" s="7"/>
      <c r="M784" s="7"/>
      <c r="N784" s="7"/>
    </row>
    <row r="785">
      <c r="A785" s="8"/>
      <c r="I785" s="7"/>
      <c r="J785" s="7"/>
      <c r="K785" s="7"/>
      <c r="L785" s="7"/>
      <c r="M785" s="7"/>
      <c r="N785" s="7"/>
    </row>
    <row r="786">
      <c r="A786" s="8"/>
      <c r="I786" s="7"/>
      <c r="J786" s="7"/>
      <c r="K786" s="7"/>
      <c r="L786" s="7"/>
      <c r="M786" s="7"/>
      <c r="N786" s="7"/>
    </row>
    <row r="787">
      <c r="A787" s="8"/>
      <c r="I787" s="7"/>
      <c r="J787" s="7"/>
      <c r="K787" s="7"/>
      <c r="L787" s="7"/>
      <c r="M787" s="7"/>
      <c r="N787" s="7"/>
    </row>
    <row r="788">
      <c r="A788" s="8"/>
      <c r="I788" s="7"/>
      <c r="J788" s="7"/>
      <c r="K788" s="7"/>
      <c r="L788" s="7"/>
      <c r="M788" s="7"/>
      <c r="N788" s="7"/>
    </row>
    <row r="789">
      <c r="A789" s="8"/>
      <c r="I789" s="7"/>
      <c r="J789" s="7"/>
      <c r="K789" s="7"/>
      <c r="L789" s="7"/>
      <c r="M789" s="7"/>
      <c r="N789" s="7"/>
    </row>
    <row r="790">
      <c r="A790" s="8"/>
      <c r="I790" s="7"/>
      <c r="J790" s="7"/>
      <c r="K790" s="7"/>
      <c r="L790" s="7"/>
      <c r="M790" s="7"/>
      <c r="N790" s="7"/>
    </row>
    <row r="791">
      <c r="A791" s="8"/>
      <c r="I791" s="7"/>
      <c r="J791" s="7"/>
      <c r="K791" s="7"/>
      <c r="L791" s="7"/>
      <c r="M791" s="7"/>
      <c r="N791" s="7"/>
    </row>
    <row r="792">
      <c r="A792" s="8"/>
      <c r="I792" s="7"/>
      <c r="J792" s="7"/>
      <c r="K792" s="7"/>
      <c r="L792" s="7"/>
      <c r="M792" s="7"/>
      <c r="N792" s="7"/>
    </row>
    <row r="793">
      <c r="A793" s="8"/>
      <c r="I793" s="7"/>
      <c r="J793" s="7"/>
      <c r="K793" s="7"/>
      <c r="L793" s="7"/>
      <c r="M793" s="7"/>
      <c r="N793" s="7"/>
    </row>
    <row r="794">
      <c r="A794" s="8"/>
      <c r="I794" s="7"/>
      <c r="J794" s="7"/>
      <c r="K794" s="7"/>
      <c r="L794" s="7"/>
      <c r="M794" s="7"/>
      <c r="N794" s="7"/>
    </row>
    <row r="795">
      <c r="A795" s="8"/>
      <c r="I795" s="7"/>
      <c r="J795" s="7"/>
      <c r="K795" s="7"/>
      <c r="L795" s="7"/>
      <c r="M795" s="7"/>
      <c r="N795" s="7"/>
    </row>
    <row r="796">
      <c r="A796" s="8"/>
      <c r="I796" s="7"/>
      <c r="J796" s="7"/>
      <c r="K796" s="7"/>
      <c r="L796" s="7"/>
      <c r="M796" s="7"/>
      <c r="N796" s="7"/>
    </row>
    <row r="797">
      <c r="A797" s="8"/>
      <c r="I797" s="7"/>
      <c r="J797" s="7"/>
      <c r="K797" s="7"/>
      <c r="L797" s="7"/>
      <c r="M797" s="7"/>
      <c r="N797" s="7"/>
    </row>
    <row r="798">
      <c r="A798" s="8"/>
      <c r="I798" s="7"/>
      <c r="J798" s="7"/>
      <c r="K798" s="7"/>
      <c r="L798" s="7"/>
      <c r="M798" s="7"/>
      <c r="N798" s="7"/>
    </row>
    <row r="799">
      <c r="A799" s="8"/>
      <c r="I799" s="7"/>
      <c r="J799" s="7"/>
      <c r="K799" s="7"/>
      <c r="L799" s="7"/>
      <c r="M799" s="7"/>
      <c r="N799" s="7"/>
    </row>
    <row r="800">
      <c r="A800" s="8"/>
      <c r="I800" s="7"/>
      <c r="J800" s="7"/>
      <c r="K800" s="7"/>
      <c r="L800" s="7"/>
      <c r="M800" s="7"/>
      <c r="N800" s="7"/>
    </row>
    <row r="801">
      <c r="A801" s="8"/>
      <c r="I801" s="7"/>
      <c r="J801" s="7"/>
      <c r="K801" s="7"/>
      <c r="L801" s="7"/>
      <c r="M801" s="7"/>
      <c r="N801" s="7"/>
    </row>
    <row r="802">
      <c r="A802" s="8"/>
      <c r="I802" s="7"/>
      <c r="J802" s="7"/>
      <c r="K802" s="7"/>
      <c r="L802" s="7"/>
      <c r="M802" s="7"/>
      <c r="N802" s="7"/>
    </row>
    <row r="803">
      <c r="A803" s="8"/>
      <c r="I803" s="7"/>
      <c r="J803" s="7"/>
      <c r="K803" s="7"/>
      <c r="L803" s="7"/>
      <c r="M803" s="7"/>
      <c r="N803" s="7"/>
    </row>
    <row r="804">
      <c r="A804" s="8"/>
      <c r="I804" s="7"/>
      <c r="J804" s="7"/>
      <c r="K804" s="7"/>
      <c r="L804" s="7"/>
      <c r="M804" s="7"/>
      <c r="N804" s="7"/>
    </row>
    <row r="805">
      <c r="A805" s="8"/>
      <c r="I805" s="7"/>
      <c r="J805" s="7"/>
      <c r="K805" s="7"/>
      <c r="L805" s="7"/>
      <c r="M805" s="7"/>
      <c r="N805" s="7"/>
    </row>
    <row r="806">
      <c r="A806" s="8"/>
      <c r="I806" s="7"/>
      <c r="J806" s="7"/>
      <c r="K806" s="7"/>
      <c r="L806" s="7"/>
      <c r="M806" s="7"/>
      <c r="N806" s="7"/>
    </row>
    <row r="807">
      <c r="A807" s="8"/>
      <c r="I807" s="7"/>
      <c r="J807" s="7"/>
      <c r="K807" s="7"/>
      <c r="L807" s="7"/>
      <c r="M807" s="7"/>
      <c r="N807" s="7"/>
    </row>
    <row r="808">
      <c r="A808" s="8"/>
      <c r="I808" s="7"/>
      <c r="J808" s="7"/>
      <c r="K808" s="7"/>
      <c r="L808" s="7"/>
      <c r="M808" s="7"/>
      <c r="N808" s="7"/>
    </row>
    <row r="809">
      <c r="A809" s="8"/>
      <c r="I809" s="7"/>
      <c r="J809" s="7"/>
      <c r="K809" s="7"/>
      <c r="L809" s="7"/>
      <c r="M809" s="7"/>
      <c r="N809" s="7"/>
    </row>
    <row r="810">
      <c r="A810" s="8"/>
      <c r="I810" s="7"/>
      <c r="J810" s="7"/>
      <c r="K810" s="7"/>
      <c r="L810" s="7"/>
      <c r="M810" s="7"/>
      <c r="N810" s="7"/>
    </row>
    <row r="811">
      <c r="A811" s="8"/>
      <c r="I811" s="7"/>
      <c r="J811" s="7"/>
      <c r="K811" s="7"/>
      <c r="L811" s="7"/>
      <c r="M811" s="7"/>
      <c r="N811" s="7"/>
    </row>
    <row r="812">
      <c r="A812" s="8"/>
      <c r="I812" s="7"/>
      <c r="J812" s="7"/>
      <c r="K812" s="7"/>
      <c r="L812" s="7"/>
      <c r="M812" s="7"/>
      <c r="N812" s="7"/>
    </row>
    <row r="813">
      <c r="A813" s="8"/>
      <c r="I813" s="7"/>
      <c r="J813" s="7"/>
      <c r="K813" s="7"/>
      <c r="L813" s="7"/>
      <c r="M813" s="7"/>
      <c r="N813" s="7"/>
    </row>
    <row r="814">
      <c r="A814" s="8"/>
      <c r="I814" s="7"/>
      <c r="J814" s="7"/>
      <c r="K814" s="7"/>
      <c r="L814" s="7"/>
      <c r="M814" s="7"/>
      <c r="N814" s="7"/>
    </row>
    <row r="815">
      <c r="A815" s="8"/>
      <c r="I815" s="7"/>
      <c r="J815" s="7"/>
      <c r="K815" s="7"/>
      <c r="L815" s="7"/>
      <c r="M815" s="7"/>
      <c r="N815" s="7"/>
    </row>
    <row r="816">
      <c r="A816" s="8"/>
      <c r="I816" s="7"/>
      <c r="J816" s="7"/>
      <c r="K816" s="7"/>
      <c r="L816" s="7"/>
      <c r="M816" s="7"/>
      <c r="N816" s="7"/>
    </row>
    <row r="817">
      <c r="A817" s="8"/>
      <c r="I817" s="7"/>
      <c r="J817" s="7"/>
      <c r="K817" s="7"/>
      <c r="L817" s="7"/>
      <c r="M817" s="7"/>
      <c r="N817" s="7"/>
    </row>
    <row r="818">
      <c r="A818" s="8"/>
      <c r="I818" s="7"/>
      <c r="J818" s="7"/>
      <c r="K818" s="7"/>
      <c r="L818" s="7"/>
      <c r="M818" s="7"/>
      <c r="N818" s="7"/>
    </row>
    <row r="819">
      <c r="A819" s="8"/>
      <c r="I819" s="7"/>
      <c r="J819" s="7"/>
      <c r="K819" s="7"/>
      <c r="L819" s="7"/>
      <c r="M819" s="7"/>
      <c r="N819" s="7"/>
    </row>
    <row r="820">
      <c r="A820" s="8"/>
      <c r="I820" s="7"/>
      <c r="J820" s="7"/>
      <c r="K820" s="7"/>
      <c r="L820" s="7"/>
      <c r="M820" s="7"/>
      <c r="N820" s="7"/>
    </row>
    <row r="821">
      <c r="A821" s="8"/>
      <c r="I821" s="7"/>
      <c r="J821" s="7"/>
      <c r="K821" s="7"/>
      <c r="L821" s="7"/>
      <c r="M821" s="7"/>
      <c r="N821" s="7"/>
    </row>
    <row r="822">
      <c r="A822" s="8"/>
      <c r="I822" s="7"/>
      <c r="J822" s="7"/>
      <c r="K822" s="7"/>
      <c r="L822" s="7"/>
      <c r="M822" s="7"/>
      <c r="N822" s="7"/>
    </row>
    <row r="823">
      <c r="A823" s="8"/>
      <c r="I823" s="7"/>
      <c r="J823" s="7"/>
      <c r="K823" s="7"/>
      <c r="L823" s="7"/>
      <c r="M823" s="7"/>
      <c r="N823" s="7"/>
    </row>
    <row r="824">
      <c r="A824" s="8"/>
      <c r="I824" s="7"/>
      <c r="J824" s="7"/>
      <c r="K824" s="7"/>
      <c r="L824" s="7"/>
      <c r="M824" s="7"/>
      <c r="N824" s="7"/>
    </row>
    <row r="825">
      <c r="A825" s="8"/>
      <c r="I825" s="7"/>
      <c r="J825" s="7"/>
      <c r="K825" s="7"/>
      <c r="L825" s="7"/>
      <c r="M825" s="7"/>
      <c r="N825" s="7"/>
    </row>
    <row r="826">
      <c r="A826" s="8"/>
      <c r="I826" s="7"/>
      <c r="J826" s="7"/>
      <c r="K826" s="7"/>
      <c r="L826" s="7"/>
      <c r="M826" s="7"/>
      <c r="N826" s="7"/>
    </row>
    <row r="827">
      <c r="A827" s="8"/>
      <c r="I827" s="7"/>
      <c r="J827" s="7"/>
      <c r="K827" s="7"/>
      <c r="L827" s="7"/>
      <c r="M827" s="7"/>
      <c r="N827" s="7"/>
    </row>
    <row r="828">
      <c r="A828" s="8"/>
      <c r="I828" s="7"/>
      <c r="J828" s="7"/>
      <c r="K828" s="7"/>
      <c r="L828" s="7"/>
      <c r="M828" s="7"/>
      <c r="N828" s="7"/>
    </row>
    <row r="829">
      <c r="A829" s="8"/>
      <c r="I829" s="7"/>
      <c r="J829" s="7"/>
      <c r="K829" s="7"/>
      <c r="L829" s="7"/>
      <c r="M829" s="7"/>
      <c r="N829" s="7"/>
    </row>
    <row r="830">
      <c r="A830" s="8"/>
      <c r="I830" s="7"/>
      <c r="J830" s="7"/>
      <c r="K830" s="7"/>
      <c r="L830" s="7"/>
      <c r="M830" s="7"/>
      <c r="N830" s="7"/>
    </row>
    <row r="831">
      <c r="A831" s="8"/>
      <c r="I831" s="7"/>
      <c r="J831" s="7"/>
      <c r="K831" s="7"/>
      <c r="L831" s="7"/>
      <c r="M831" s="7"/>
      <c r="N831" s="7"/>
    </row>
    <row r="832">
      <c r="A832" s="8"/>
      <c r="I832" s="7"/>
      <c r="J832" s="7"/>
      <c r="K832" s="7"/>
      <c r="L832" s="7"/>
      <c r="M832" s="7"/>
      <c r="N832" s="7"/>
    </row>
    <row r="833">
      <c r="A833" s="8"/>
      <c r="I833" s="7"/>
      <c r="J833" s="7"/>
      <c r="K833" s="7"/>
      <c r="L833" s="7"/>
      <c r="M833" s="7"/>
      <c r="N833" s="7"/>
    </row>
    <row r="834">
      <c r="A834" s="8"/>
      <c r="I834" s="7"/>
      <c r="J834" s="7"/>
      <c r="K834" s="7"/>
      <c r="L834" s="7"/>
      <c r="M834" s="7"/>
      <c r="N834" s="7"/>
    </row>
    <row r="835">
      <c r="A835" s="8"/>
      <c r="I835" s="7"/>
      <c r="J835" s="7"/>
      <c r="K835" s="7"/>
      <c r="L835" s="7"/>
      <c r="M835" s="7"/>
      <c r="N835" s="7"/>
    </row>
    <row r="836">
      <c r="A836" s="8"/>
      <c r="I836" s="7"/>
      <c r="J836" s="7"/>
      <c r="K836" s="7"/>
      <c r="L836" s="7"/>
      <c r="M836" s="7"/>
      <c r="N836" s="7"/>
    </row>
    <row r="837">
      <c r="A837" s="8"/>
      <c r="I837" s="7"/>
      <c r="J837" s="7"/>
      <c r="K837" s="7"/>
      <c r="L837" s="7"/>
      <c r="M837" s="7"/>
      <c r="N837" s="7"/>
    </row>
    <row r="838">
      <c r="A838" s="8"/>
      <c r="I838" s="7"/>
      <c r="J838" s="7"/>
      <c r="K838" s="7"/>
      <c r="L838" s="7"/>
      <c r="M838" s="7"/>
      <c r="N838" s="7"/>
    </row>
    <row r="839">
      <c r="A839" s="8"/>
      <c r="I839" s="7"/>
      <c r="J839" s="7"/>
      <c r="K839" s="7"/>
      <c r="L839" s="7"/>
      <c r="M839" s="7"/>
      <c r="N839" s="7"/>
    </row>
    <row r="840">
      <c r="A840" s="8"/>
      <c r="I840" s="7"/>
      <c r="J840" s="7"/>
      <c r="K840" s="7"/>
      <c r="L840" s="7"/>
      <c r="M840" s="7"/>
      <c r="N840" s="7"/>
    </row>
    <row r="841">
      <c r="A841" s="8"/>
      <c r="I841" s="7"/>
      <c r="J841" s="7"/>
      <c r="K841" s="7"/>
      <c r="L841" s="7"/>
      <c r="M841" s="7"/>
      <c r="N841" s="7"/>
    </row>
    <row r="842">
      <c r="A842" s="8"/>
      <c r="I842" s="7"/>
      <c r="J842" s="7"/>
      <c r="K842" s="7"/>
      <c r="L842" s="7"/>
      <c r="M842" s="7"/>
      <c r="N842" s="7"/>
    </row>
    <row r="843">
      <c r="A843" s="8"/>
      <c r="I843" s="7"/>
      <c r="J843" s="7"/>
      <c r="K843" s="7"/>
      <c r="L843" s="7"/>
      <c r="M843" s="7"/>
      <c r="N843" s="7"/>
    </row>
    <row r="844">
      <c r="A844" s="8"/>
      <c r="I844" s="7"/>
      <c r="J844" s="7"/>
      <c r="K844" s="7"/>
      <c r="L844" s="7"/>
      <c r="M844" s="7"/>
      <c r="N844" s="7"/>
    </row>
    <row r="845">
      <c r="A845" s="8"/>
      <c r="I845" s="7"/>
      <c r="J845" s="7"/>
      <c r="K845" s="7"/>
      <c r="L845" s="7"/>
      <c r="M845" s="7"/>
      <c r="N845" s="7"/>
    </row>
    <row r="846">
      <c r="A846" s="8"/>
      <c r="I846" s="7"/>
      <c r="J846" s="7"/>
      <c r="K846" s="7"/>
      <c r="L846" s="7"/>
      <c r="M846" s="7"/>
      <c r="N846" s="7"/>
    </row>
    <row r="847">
      <c r="A847" s="8"/>
      <c r="I847" s="7"/>
      <c r="J847" s="7"/>
      <c r="K847" s="7"/>
      <c r="L847" s="7"/>
      <c r="M847" s="7"/>
      <c r="N847" s="7"/>
    </row>
    <row r="848">
      <c r="A848" s="8"/>
      <c r="I848" s="7"/>
      <c r="J848" s="7"/>
      <c r="K848" s="7"/>
      <c r="L848" s="7"/>
      <c r="M848" s="7"/>
      <c r="N848" s="7"/>
    </row>
    <row r="849">
      <c r="A849" s="8"/>
      <c r="I849" s="7"/>
      <c r="J849" s="7"/>
      <c r="K849" s="7"/>
      <c r="L849" s="7"/>
      <c r="M849" s="7"/>
      <c r="N849" s="7"/>
    </row>
    <row r="850">
      <c r="A850" s="8"/>
      <c r="I850" s="7"/>
      <c r="J850" s="7"/>
      <c r="K850" s="7"/>
      <c r="L850" s="7"/>
      <c r="M850" s="7"/>
      <c r="N850" s="7"/>
    </row>
    <row r="851">
      <c r="A851" s="8"/>
      <c r="I851" s="7"/>
      <c r="J851" s="7"/>
      <c r="K851" s="7"/>
      <c r="L851" s="7"/>
      <c r="M851" s="7"/>
      <c r="N851" s="7"/>
    </row>
    <row r="852">
      <c r="A852" s="8"/>
      <c r="I852" s="7"/>
      <c r="J852" s="7"/>
      <c r="K852" s="7"/>
      <c r="L852" s="7"/>
      <c r="M852" s="7"/>
      <c r="N852" s="7"/>
    </row>
    <row r="853">
      <c r="A853" s="8"/>
      <c r="I853" s="7"/>
      <c r="J853" s="7"/>
      <c r="K853" s="7"/>
      <c r="L853" s="7"/>
      <c r="M853" s="7"/>
      <c r="N853" s="7"/>
    </row>
    <row r="854">
      <c r="A854" s="8"/>
      <c r="I854" s="7"/>
      <c r="J854" s="7"/>
      <c r="K854" s="7"/>
      <c r="L854" s="7"/>
      <c r="M854" s="7"/>
      <c r="N854" s="7"/>
    </row>
    <row r="855">
      <c r="A855" s="8"/>
      <c r="I855" s="7"/>
      <c r="J855" s="7"/>
      <c r="K855" s="7"/>
      <c r="L855" s="7"/>
      <c r="M855" s="7"/>
      <c r="N855" s="7"/>
    </row>
    <row r="856">
      <c r="A856" s="8"/>
      <c r="I856" s="7"/>
      <c r="J856" s="7"/>
      <c r="K856" s="7"/>
      <c r="L856" s="7"/>
      <c r="M856" s="7"/>
      <c r="N856" s="7"/>
    </row>
    <row r="857">
      <c r="A857" s="8"/>
      <c r="I857" s="7"/>
      <c r="J857" s="7"/>
      <c r="K857" s="7"/>
      <c r="L857" s="7"/>
      <c r="M857" s="7"/>
      <c r="N857" s="7"/>
    </row>
    <row r="858">
      <c r="A858" s="8"/>
      <c r="I858" s="7"/>
      <c r="J858" s="7"/>
      <c r="K858" s="7"/>
      <c r="L858" s="7"/>
      <c r="M858" s="7"/>
      <c r="N858" s="7"/>
    </row>
    <row r="859">
      <c r="A859" s="8"/>
      <c r="I859" s="7"/>
      <c r="J859" s="7"/>
      <c r="K859" s="7"/>
      <c r="L859" s="7"/>
      <c r="M859" s="7"/>
      <c r="N859" s="7"/>
    </row>
    <row r="860">
      <c r="A860" s="8"/>
      <c r="I860" s="7"/>
      <c r="J860" s="7"/>
      <c r="K860" s="7"/>
      <c r="L860" s="7"/>
      <c r="M860" s="7"/>
      <c r="N860" s="7"/>
    </row>
    <row r="861">
      <c r="A861" s="8"/>
      <c r="I861" s="7"/>
      <c r="J861" s="7"/>
      <c r="K861" s="7"/>
      <c r="L861" s="7"/>
      <c r="M861" s="7"/>
      <c r="N861" s="7"/>
    </row>
    <row r="862">
      <c r="A862" s="8"/>
      <c r="I862" s="7"/>
      <c r="J862" s="7"/>
      <c r="K862" s="7"/>
      <c r="L862" s="7"/>
      <c r="M862" s="7"/>
      <c r="N862" s="7"/>
    </row>
    <row r="863">
      <c r="A863" s="8"/>
      <c r="I863" s="7"/>
      <c r="J863" s="7"/>
      <c r="K863" s="7"/>
      <c r="L863" s="7"/>
      <c r="M863" s="7"/>
      <c r="N863" s="7"/>
    </row>
    <row r="864">
      <c r="A864" s="8"/>
      <c r="I864" s="7"/>
      <c r="J864" s="7"/>
      <c r="K864" s="7"/>
      <c r="L864" s="7"/>
      <c r="M864" s="7"/>
      <c r="N864" s="7"/>
    </row>
    <row r="865">
      <c r="A865" s="8"/>
      <c r="I865" s="7"/>
      <c r="J865" s="7"/>
      <c r="K865" s="7"/>
      <c r="L865" s="7"/>
      <c r="M865" s="7"/>
      <c r="N865" s="7"/>
    </row>
    <row r="866">
      <c r="A866" s="8"/>
      <c r="I866" s="7"/>
      <c r="J866" s="7"/>
      <c r="K866" s="7"/>
      <c r="L866" s="7"/>
      <c r="M866" s="7"/>
      <c r="N866" s="7"/>
    </row>
    <row r="867">
      <c r="A867" s="8"/>
      <c r="I867" s="7"/>
      <c r="J867" s="7"/>
      <c r="K867" s="7"/>
      <c r="L867" s="7"/>
      <c r="M867" s="7"/>
      <c r="N867" s="7"/>
    </row>
    <row r="868">
      <c r="A868" s="8"/>
      <c r="I868" s="7"/>
      <c r="J868" s="7"/>
      <c r="K868" s="7"/>
      <c r="L868" s="7"/>
      <c r="M868" s="7"/>
      <c r="N868" s="7"/>
    </row>
    <row r="869">
      <c r="A869" s="8"/>
      <c r="I869" s="7"/>
      <c r="J869" s="7"/>
      <c r="K869" s="7"/>
      <c r="L869" s="7"/>
      <c r="M869" s="7"/>
      <c r="N869" s="7"/>
    </row>
    <row r="870">
      <c r="A870" s="8"/>
      <c r="I870" s="7"/>
      <c r="J870" s="7"/>
      <c r="K870" s="7"/>
      <c r="L870" s="7"/>
      <c r="M870" s="7"/>
      <c r="N870" s="7"/>
    </row>
    <row r="871">
      <c r="A871" s="8"/>
      <c r="I871" s="7"/>
      <c r="J871" s="7"/>
      <c r="K871" s="7"/>
      <c r="L871" s="7"/>
      <c r="M871" s="7"/>
      <c r="N871" s="7"/>
    </row>
    <row r="872">
      <c r="A872" s="8"/>
      <c r="I872" s="7"/>
      <c r="J872" s="7"/>
      <c r="K872" s="7"/>
      <c r="L872" s="7"/>
      <c r="M872" s="7"/>
      <c r="N872" s="7"/>
    </row>
    <row r="873">
      <c r="A873" s="8"/>
      <c r="I873" s="7"/>
      <c r="J873" s="7"/>
      <c r="K873" s="7"/>
      <c r="L873" s="7"/>
      <c r="M873" s="7"/>
      <c r="N873" s="7"/>
    </row>
    <row r="874">
      <c r="A874" s="8"/>
      <c r="I874" s="7"/>
      <c r="J874" s="7"/>
      <c r="K874" s="7"/>
      <c r="L874" s="7"/>
      <c r="M874" s="7"/>
      <c r="N874" s="7"/>
    </row>
    <row r="875">
      <c r="A875" s="8"/>
      <c r="I875" s="7"/>
      <c r="J875" s="7"/>
      <c r="K875" s="7"/>
      <c r="L875" s="7"/>
      <c r="M875" s="7"/>
      <c r="N875" s="7"/>
    </row>
    <row r="876">
      <c r="A876" s="8"/>
      <c r="I876" s="7"/>
      <c r="J876" s="7"/>
      <c r="K876" s="7"/>
      <c r="L876" s="7"/>
      <c r="M876" s="7"/>
      <c r="N876" s="7"/>
    </row>
    <row r="877">
      <c r="A877" s="8"/>
      <c r="I877" s="7"/>
      <c r="J877" s="7"/>
      <c r="K877" s="7"/>
      <c r="L877" s="7"/>
      <c r="M877" s="7"/>
      <c r="N877" s="7"/>
    </row>
    <row r="878">
      <c r="A878" s="8"/>
      <c r="I878" s="7"/>
      <c r="J878" s="7"/>
      <c r="K878" s="7"/>
      <c r="L878" s="7"/>
      <c r="M878" s="7"/>
      <c r="N878" s="7"/>
    </row>
    <row r="879">
      <c r="A879" s="8"/>
      <c r="I879" s="7"/>
      <c r="J879" s="7"/>
      <c r="K879" s="7"/>
      <c r="L879" s="7"/>
      <c r="M879" s="7"/>
      <c r="N879" s="7"/>
    </row>
    <row r="880">
      <c r="A880" s="8"/>
      <c r="I880" s="7"/>
      <c r="J880" s="7"/>
      <c r="K880" s="7"/>
      <c r="L880" s="7"/>
      <c r="M880" s="7"/>
      <c r="N880" s="7"/>
    </row>
    <row r="881">
      <c r="A881" s="8"/>
      <c r="I881" s="7"/>
      <c r="J881" s="7"/>
      <c r="K881" s="7"/>
      <c r="L881" s="7"/>
      <c r="M881" s="7"/>
      <c r="N881" s="7"/>
    </row>
    <row r="882">
      <c r="A882" s="8"/>
      <c r="I882" s="7"/>
      <c r="J882" s="7"/>
      <c r="K882" s="7"/>
      <c r="L882" s="7"/>
      <c r="M882" s="7"/>
      <c r="N882" s="7"/>
    </row>
    <row r="883">
      <c r="A883" s="8"/>
      <c r="I883" s="7"/>
      <c r="J883" s="7"/>
      <c r="K883" s="7"/>
      <c r="L883" s="7"/>
      <c r="M883" s="7"/>
      <c r="N883" s="7"/>
    </row>
    <row r="884">
      <c r="A884" s="8"/>
      <c r="I884" s="7"/>
      <c r="J884" s="7"/>
      <c r="K884" s="7"/>
      <c r="L884" s="7"/>
      <c r="M884" s="7"/>
      <c r="N884" s="7"/>
    </row>
    <row r="885">
      <c r="A885" s="8"/>
      <c r="I885" s="7"/>
      <c r="J885" s="7"/>
      <c r="K885" s="7"/>
      <c r="L885" s="7"/>
      <c r="M885" s="7"/>
      <c r="N885" s="7"/>
    </row>
    <row r="886">
      <c r="A886" s="8"/>
      <c r="I886" s="7"/>
      <c r="J886" s="7"/>
      <c r="K886" s="7"/>
      <c r="L886" s="7"/>
      <c r="M886" s="7"/>
      <c r="N886" s="7"/>
    </row>
    <row r="887">
      <c r="A887" s="8"/>
      <c r="I887" s="7"/>
      <c r="J887" s="7"/>
      <c r="K887" s="7"/>
      <c r="L887" s="7"/>
      <c r="M887" s="7"/>
      <c r="N887" s="7"/>
    </row>
    <row r="888">
      <c r="A888" s="8"/>
      <c r="I888" s="7"/>
      <c r="J888" s="7"/>
      <c r="K888" s="7"/>
      <c r="L888" s="7"/>
      <c r="M888" s="7"/>
      <c r="N888" s="7"/>
    </row>
    <row r="889">
      <c r="A889" s="8"/>
      <c r="I889" s="7"/>
      <c r="J889" s="7"/>
      <c r="K889" s="7"/>
      <c r="L889" s="7"/>
      <c r="M889" s="7"/>
      <c r="N889" s="7"/>
    </row>
    <row r="890">
      <c r="A890" s="8"/>
      <c r="I890" s="7"/>
      <c r="J890" s="7"/>
      <c r="K890" s="7"/>
      <c r="L890" s="7"/>
      <c r="M890" s="7"/>
      <c r="N890" s="7"/>
    </row>
    <row r="891">
      <c r="A891" s="8"/>
      <c r="I891" s="7"/>
      <c r="J891" s="7"/>
      <c r="K891" s="7"/>
      <c r="L891" s="7"/>
      <c r="M891" s="7"/>
      <c r="N891" s="7"/>
    </row>
    <row r="892">
      <c r="A892" s="8"/>
      <c r="I892" s="7"/>
      <c r="J892" s="7"/>
      <c r="K892" s="7"/>
      <c r="L892" s="7"/>
      <c r="M892" s="7"/>
      <c r="N892" s="7"/>
    </row>
    <row r="893">
      <c r="A893" s="8"/>
      <c r="I893" s="7"/>
      <c r="J893" s="7"/>
      <c r="K893" s="7"/>
      <c r="L893" s="7"/>
      <c r="M893" s="7"/>
      <c r="N893" s="7"/>
    </row>
    <row r="894">
      <c r="A894" s="8"/>
      <c r="I894" s="7"/>
      <c r="J894" s="7"/>
      <c r="K894" s="7"/>
      <c r="L894" s="7"/>
      <c r="M894" s="7"/>
      <c r="N894" s="7"/>
    </row>
    <row r="895">
      <c r="A895" s="8"/>
      <c r="I895" s="7"/>
      <c r="J895" s="7"/>
      <c r="K895" s="7"/>
      <c r="L895" s="7"/>
      <c r="M895" s="7"/>
      <c r="N895" s="7"/>
    </row>
    <row r="896">
      <c r="A896" s="8"/>
      <c r="I896" s="7"/>
      <c r="J896" s="7"/>
      <c r="K896" s="7"/>
      <c r="L896" s="7"/>
      <c r="M896" s="7"/>
      <c r="N896" s="7"/>
    </row>
    <row r="897">
      <c r="A897" s="8"/>
      <c r="I897" s="7"/>
      <c r="J897" s="7"/>
      <c r="K897" s="7"/>
      <c r="L897" s="7"/>
      <c r="M897" s="7"/>
      <c r="N897" s="7"/>
    </row>
    <row r="898">
      <c r="A898" s="8"/>
      <c r="I898" s="7"/>
      <c r="J898" s="7"/>
      <c r="K898" s="7"/>
      <c r="L898" s="7"/>
      <c r="M898" s="7"/>
      <c r="N898" s="7"/>
    </row>
    <row r="899">
      <c r="A899" s="8"/>
      <c r="I899" s="7"/>
      <c r="J899" s="7"/>
      <c r="K899" s="7"/>
      <c r="L899" s="7"/>
      <c r="M899" s="7"/>
      <c r="N899" s="7"/>
    </row>
    <row r="900">
      <c r="A900" s="8"/>
      <c r="I900" s="7"/>
      <c r="J900" s="7"/>
      <c r="K900" s="7"/>
      <c r="L900" s="7"/>
      <c r="M900" s="7"/>
      <c r="N900" s="7"/>
    </row>
    <row r="901">
      <c r="A901" s="8"/>
      <c r="I901" s="7"/>
      <c r="J901" s="7"/>
      <c r="K901" s="7"/>
      <c r="L901" s="7"/>
      <c r="M901" s="7"/>
      <c r="N901" s="7"/>
    </row>
    <row r="902">
      <c r="A902" s="8"/>
      <c r="I902" s="7"/>
      <c r="J902" s="7"/>
      <c r="K902" s="7"/>
      <c r="L902" s="7"/>
      <c r="M902" s="7"/>
      <c r="N902" s="7"/>
    </row>
    <row r="903">
      <c r="A903" s="8"/>
      <c r="I903" s="7"/>
      <c r="J903" s="7"/>
      <c r="K903" s="7"/>
      <c r="L903" s="7"/>
      <c r="M903" s="7"/>
      <c r="N903" s="7"/>
    </row>
    <row r="904">
      <c r="A904" s="8"/>
      <c r="I904" s="7"/>
      <c r="J904" s="7"/>
      <c r="K904" s="7"/>
      <c r="L904" s="7"/>
      <c r="M904" s="7"/>
      <c r="N904" s="7"/>
    </row>
    <row r="905">
      <c r="A905" s="8"/>
      <c r="I905" s="7"/>
      <c r="J905" s="7"/>
      <c r="K905" s="7"/>
      <c r="L905" s="7"/>
      <c r="M905" s="7"/>
      <c r="N905" s="7"/>
    </row>
    <row r="906">
      <c r="A906" s="8"/>
      <c r="I906" s="7"/>
      <c r="J906" s="7"/>
      <c r="K906" s="7"/>
      <c r="L906" s="7"/>
      <c r="M906" s="7"/>
      <c r="N906" s="7"/>
    </row>
    <row r="907">
      <c r="A907" s="8"/>
      <c r="I907" s="7"/>
      <c r="J907" s="7"/>
      <c r="K907" s="7"/>
      <c r="L907" s="7"/>
      <c r="M907" s="7"/>
      <c r="N907" s="7"/>
    </row>
    <row r="908">
      <c r="A908" s="8"/>
      <c r="I908" s="7"/>
      <c r="J908" s="7"/>
      <c r="K908" s="7"/>
      <c r="L908" s="7"/>
      <c r="M908" s="7"/>
      <c r="N908" s="7"/>
    </row>
    <row r="909">
      <c r="A909" s="8"/>
      <c r="I909" s="7"/>
      <c r="J909" s="7"/>
      <c r="K909" s="7"/>
      <c r="L909" s="7"/>
      <c r="M909" s="7"/>
      <c r="N909" s="7"/>
    </row>
    <row r="910">
      <c r="A910" s="8"/>
      <c r="I910" s="7"/>
      <c r="J910" s="7"/>
      <c r="K910" s="7"/>
      <c r="L910" s="7"/>
      <c r="M910" s="7"/>
      <c r="N910" s="7"/>
    </row>
    <row r="911">
      <c r="A911" s="8"/>
      <c r="I911" s="7"/>
      <c r="J911" s="7"/>
      <c r="K911" s="7"/>
      <c r="L911" s="7"/>
      <c r="M911" s="7"/>
      <c r="N911" s="7"/>
    </row>
    <row r="912">
      <c r="A912" s="8"/>
      <c r="I912" s="7"/>
      <c r="J912" s="7"/>
      <c r="K912" s="7"/>
      <c r="L912" s="7"/>
      <c r="M912" s="7"/>
      <c r="N912" s="7"/>
    </row>
    <row r="913">
      <c r="A913" s="8"/>
      <c r="I913" s="7"/>
      <c r="J913" s="7"/>
      <c r="K913" s="7"/>
      <c r="L913" s="7"/>
      <c r="M913" s="7"/>
      <c r="N913" s="7"/>
    </row>
    <row r="914">
      <c r="A914" s="8"/>
      <c r="I914" s="7"/>
      <c r="J914" s="7"/>
      <c r="K914" s="7"/>
      <c r="L914" s="7"/>
      <c r="M914" s="7"/>
      <c r="N914" s="7"/>
    </row>
    <row r="915">
      <c r="A915" s="8"/>
      <c r="I915" s="7"/>
      <c r="J915" s="7"/>
      <c r="K915" s="7"/>
      <c r="L915" s="7"/>
      <c r="M915" s="7"/>
      <c r="N915" s="7"/>
    </row>
    <row r="916">
      <c r="A916" s="8"/>
      <c r="I916" s="7"/>
      <c r="J916" s="7"/>
      <c r="K916" s="7"/>
      <c r="L916" s="7"/>
      <c r="M916" s="7"/>
      <c r="N916" s="7"/>
    </row>
    <row r="917">
      <c r="A917" s="8"/>
      <c r="I917" s="7"/>
      <c r="J917" s="7"/>
      <c r="K917" s="7"/>
      <c r="L917" s="7"/>
      <c r="M917" s="7"/>
      <c r="N917" s="7"/>
    </row>
    <row r="918">
      <c r="A918" s="8"/>
      <c r="I918" s="7"/>
      <c r="J918" s="7"/>
      <c r="K918" s="7"/>
      <c r="L918" s="7"/>
      <c r="M918" s="7"/>
      <c r="N918" s="7"/>
    </row>
    <row r="919">
      <c r="A919" s="8"/>
      <c r="I919" s="7"/>
      <c r="J919" s="7"/>
      <c r="K919" s="7"/>
      <c r="L919" s="7"/>
      <c r="M919" s="7"/>
      <c r="N919" s="7"/>
    </row>
    <row r="920">
      <c r="A920" s="8"/>
      <c r="I920" s="7"/>
      <c r="J920" s="7"/>
      <c r="K920" s="7"/>
      <c r="L920" s="7"/>
      <c r="M920" s="7"/>
      <c r="N920" s="7"/>
    </row>
    <row r="921">
      <c r="A921" s="8"/>
      <c r="I921" s="7"/>
      <c r="J921" s="7"/>
      <c r="K921" s="7"/>
      <c r="L921" s="7"/>
      <c r="M921" s="7"/>
      <c r="N921" s="7"/>
    </row>
    <row r="922">
      <c r="A922" s="8"/>
      <c r="I922" s="7"/>
      <c r="J922" s="7"/>
      <c r="K922" s="7"/>
      <c r="L922" s="7"/>
      <c r="M922" s="7"/>
      <c r="N922" s="7"/>
    </row>
    <row r="923">
      <c r="A923" s="8"/>
      <c r="I923" s="7"/>
      <c r="J923" s="7"/>
      <c r="K923" s="7"/>
      <c r="L923" s="7"/>
      <c r="M923" s="7"/>
      <c r="N923" s="7"/>
    </row>
    <row r="924">
      <c r="A924" s="8"/>
      <c r="I924" s="7"/>
      <c r="J924" s="7"/>
      <c r="K924" s="7"/>
      <c r="L924" s="7"/>
      <c r="M924" s="7"/>
      <c r="N924" s="7"/>
    </row>
    <row r="925">
      <c r="A925" s="8"/>
      <c r="I925" s="7"/>
      <c r="J925" s="7"/>
      <c r="K925" s="7"/>
      <c r="L925" s="7"/>
      <c r="M925" s="7"/>
      <c r="N925" s="7"/>
    </row>
    <row r="926">
      <c r="A926" s="8"/>
      <c r="I926" s="7"/>
      <c r="J926" s="7"/>
      <c r="K926" s="7"/>
      <c r="L926" s="7"/>
      <c r="M926" s="7"/>
      <c r="N926" s="7"/>
    </row>
    <row r="927">
      <c r="A927" s="8"/>
      <c r="I927" s="7"/>
      <c r="J927" s="7"/>
      <c r="K927" s="7"/>
      <c r="L927" s="7"/>
      <c r="M927" s="7"/>
      <c r="N927" s="7"/>
    </row>
    <row r="928">
      <c r="A928" s="8"/>
      <c r="I928" s="7"/>
      <c r="J928" s="7"/>
      <c r="K928" s="7"/>
      <c r="L928" s="7"/>
      <c r="M928" s="7"/>
      <c r="N928" s="7"/>
    </row>
    <row r="929">
      <c r="A929" s="8"/>
      <c r="I929" s="7"/>
      <c r="J929" s="7"/>
      <c r="K929" s="7"/>
      <c r="L929" s="7"/>
      <c r="M929" s="7"/>
      <c r="N929" s="7"/>
    </row>
    <row r="930">
      <c r="A930" s="8"/>
      <c r="I930" s="7"/>
      <c r="J930" s="7"/>
      <c r="K930" s="7"/>
      <c r="L930" s="7"/>
      <c r="M930" s="7"/>
      <c r="N930" s="7"/>
    </row>
    <row r="931">
      <c r="A931" s="8"/>
      <c r="I931" s="7"/>
      <c r="J931" s="7"/>
      <c r="K931" s="7"/>
      <c r="L931" s="7"/>
      <c r="M931" s="7"/>
      <c r="N931" s="7"/>
    </row>
    <row r="932">
      <c r="A932" s="8"/>
      <c r="I932" s="7"/>
      <c r="J932" s="7"/>
      <c r="K932" s="7"/>
      <c r="L932" s="7"/>
      <c r="M932" s="7"/>
      <c r="N932" s="7"/>
    </row>
    <row r="933">
      <c r="A933" s="8"/>
      <c r="I933" s="7"/>
      <c r="J933" s="7"/>
      <c r="K933" s="7"/>
      <c r="L933" s="7"/>
      <c r="M933" s="7"/>
      <c r="N933" s="7"/>
    </row>
    <row r="934">
      <c r="A934" s="8"/>
      <c r="I934" s="7"/>
      <c r="J934" s="7"/>
      <c r="K934" s="7"/>
      <c r="L934" s="7"/>
      <c r="M934" s="7"/>
      <c r="N934" s="7"/>
    </row>
    <row r="935">
      <c r="A935" s="8"/>
      <c r="I935" s="7"/>
      <c r="J935" s="7"/>
      <c r="K935" s="7"/>
      <c r="L935" s="7"/>
      <c r="M935" s="7"/>
      <c r="N935" s="7"/>
    </row>
    <row r="936">
      <c r="A936" s="8"/>
      <c r="I936" s="7"/>
      <c r="J936" s="7"/>
      <c r="K936" s="7"/>
      <c r="L936" s="7"/>
      <c r="M936" s="7"/>
      <c r="N936" s="7"/>
    </row>
    <row r="937">
      <c r="A937" s="8"/>
      <c r="I937" s="7"/>
      <c r="J937" s="7"/>
      <c r="K937" s="7"/>
      <c r="L937" s="7"/>
      <c r="M937" s="7"/>
      <c r="N937" s="7"/>
    </row>
    <row r="938">
      <c r="A938" s="8"/>
      <c r="I938" s="7"/>
      <c r="J938" s="7"/>
      <c r="K938" s="7"/>
      <c r="L938" s="7"/>
      <c r="M938" s="7"/>
      <c r="N938" s="7"/>
    </row>
    <row r="939">
      <c r="A939" s="8"/>
      <c r="I939" s="7"/>
      <c r="J939" s="7"/>
      <c r="K939" s="7"/>
      <c r="L939" s="7"/>
      <c r="M939" s="7"/>
      <c r="N939" s="7"/>
    </row>
    <row r="940">
      <c r="A940" s="8"/>
      <c r="I940" s="7"/>
      <c r="J940" s="7"/>
      <c r="K940" s="7"/>
      <c r="L940" s="7"/>
      <c r="M940" s="7"/>
      <c r="N940" s="7"/>
    </row>
    <row r="941">
      <c r="A941" s="8"/>
      <c r="I941" s="7"/>
      <c r="J941" s="7"/>
      <c r="K941" s="7"/>
      <c r="L941" s="7"/>
      <c r="M941" s="7"/>
      <c r="N941" s="7"/>
    </row>
    <row r="942">
      <c r="A942" s="8"/>
      <c r="I942" s="7"/>
      <c r="J942" s="7"/>
      <c r="K942" s="7"/>
      <c r="L942" s="7"/>
      <c r="M942" s="7"/>
      <c r="N942" s="7"/>
    </row>
    <row r="943">
      <c r="A943" s="8"/>
      <c r="I943" s="7"/>
      <c r="J943" s="7"/>
      <c r="K943" s="7"/>
      <c r="L943" s="7"/>
      <c r="M943" s="7"/>
      <c r="N943" s="7"/>
    </row>
    <row r="944">
      <c r="A944" s="8"/>
      <c r="I944" s="7"/>
      <c r="J944" s="7"/>
      <c r="K944" s="7"/>
      <c r="L944" s="7"/>
      <c r="M944" s="7"/>
      <c r="N944" s="7"/>
    </row>
    <row r="945">
      <c r="A945" s="8"/>
      <c r="I945" s="7"/>
      <c r="J945" s="7"/>
      <c r="K945" s="7"/>
      <c r="L945" s="7"/>
      <c r="M945" s="7"/>
      <c r="N945" s="7"/>
    </row>
    <row r="946">
      <c r="A946" s="8"/>
      <c r="I946" s="7"/>
      <c r="J946" s="7"/>
      <c r="K946" s="7"/>
      <c r="L946" s="7"/>
      <c r="M946" s="7"/>
      <c r="N946" s="7"/>
    </row>
    <row r="947">
      <c r="A947" s="8"/>
      <c r="I947" s="7"/>
      <c r="J947" s="7"/>
      <c r="K947" s="7"/>
      <c r="L947" s="7"/>
      <c r="M947" s="7"/>
      <c r="N947" s="7"/>
    </row>
    <row r="948">
      <c r="A948" s="8"/>
      <c r="I948" s="7"/>
      <c r="J948" s="7"/>
      <c r="K948" s="7"/>
      <c r="L948" s="7"/>
      <c r="M948" s="7"/>
      <c r="N948" s="7"/>
    </row>
    <row r="949">
      <c r="A949" s="8"/>
      <c r="I949" s="7"/>
      <c r="J949" s="7"/>
      <c r="K949" s="7"/>
      <c r="L949" s="7"/>
      <c r="M949" s="7"/>
      <c r="N949" s="7"/>
    </row>
    <row r="950">
      <c r="A950" s="8"/>
      <c r="I950" s="7"/>
      <c r="J950" s="7"/>
      <c r="K950" s="7"/>
      <c r="L950" s="7"/>
      <c r="M950" s="7"/>
      <c r="N950" s="7"/>
    </row>
    <row r="951">
      <c r="A951" s="8"/>
      <c r="I951" s="7"/>
      <c r="J951" s="7"/>
      <c r="K951" s="7"/>
      <c r="L951" s="7"/>
      <c r="M951" s="7"/>
      <c r="N951" s="7"/>
    </row>
    <row r="952">
      <c r="A952" s="8"/>
      <c r="I952" s="7"/>
      <c r="J952" s="7"/>
      <c r="K952" s="7"/>
      <c r="L952" s="7"/>
      <c r="M952" s="7"/>
      <c r="N952" s="7"/>
    </row>
    <row r="953">
      <c r="A953" s="8"/>
      <c r="I953" s="7"/>
      <c r="J953" s="7"/>
      <c r="K953" s="7"/>
      <c r="L953" s="7"/>
      <c r="M953" s="7"/>
      <c r="N953" s="7"/>
    </row>
    <row r="954">
      <c r="A954" s="8"/>
      <c r="I954" s="7"/>
      <c r="J954" s="7"/>
      <c r="K954" s="7"/>
      <c r="L954" s="7"/>
      <c r="M954" s="7"/>
      <c r="N954" s="7"/>
    </row>
    <row r="955">
      <c r="A955" s="8"/>
      <c r="I955" s="7"/>
      <c r="J955" s="7"/>
      <c r="K955" s="7"/>
      <c r="L955" s="7"/>
      <c r="M955" s="7"/>
      <c r="N955" s="7"/>
    </row>
    <row r="956">
      <c r="A956" s="8"/>
      <c r="I956" s="7"/>
      <c r="J956" s="7"/>
      <c r="K956" s="7"/>
      <c r="L956" s="7"/>
      <c r="M956" s="7"/>
      <c r="N956" s="7"/>
    </row>
    <row r="957">
      <c r="A957" s="8"/>
      <c r="I957" s="7"/>
      <c r="J957" s="7"/>
      <c r="K957" s="7"/>
      <c r="L957" s="7"/>
      <c r="M957" s="7"/>
      <c r="N957" s="7"/>
    </row>
    <row r="958">
      <c r="A958" s="8"/>
      <c r="I958" s="7"/>
      <c r="J958" s="7"/>
      <c r="K958" s="7"/>
      <c r="L958" s="7"/>
      <c r="M958" s="7"/>
      <c r="N958" s="7"/>
    </row>
    <row r="959">
      <c r="A959" s="8"/>
      <c r="I959" s="7"/>
      <c r="J959" s="7"/>
      <c r="K959" s="7"/>
      <c r="L959" s="7"/>
      <c r="M959" s="7"/>
      <c r="N959" s="7"/>
    </row>
    <row r="960">
      <c r="A960" s="8"/>
      <c r="I960" s="7"/>
      <c r="J960" s="7"/>
      <c r="K960" s="7"/>
      <c r="L960" s="7"/>
      <c r="M960" s="7"/>
      <c r="N960" s="7"/>
    </row>
    <row r="961">
      <c r="A961" s="8"/>
      <c r="I961" s="7"/>
      <c r="J961" s="7"/>
      <c r="K961" s="7"/>
      <c r="L961" s="7"/>
      <c r="M961" s="7"/>
      <c r="N961" s="7"/>
    </row>
    <row r="962">
      <c r="A962" s="8"/>
      <c r="I962" s="7"/>
      <c r="J962" s="7"/>
      <c r="K962" s="7"/>
      <c r="L962" s="7"/>
      <c r="M962" s="7"/>
      <c r="N962" s="7"/>
    </row>
    <row r="963">
      <c r="A963" s="8"/>
      <c r="I963" s="7"/>
      <c r="J963" s="7"/>
      <c r="K963" s="7"/>
      <c r="L963" s="7"/>
      <c r="M963" s="7"/>
      <c r="N963" s="7"/>
    </row>
    <row r="964">
      <c r="A964" s="8"/>
      <c r="I964" s="7"/>
      <c r="J964" s="7"/>
      <c r="K964" s="7"/>
      <c r="L964" s="7"/>
      <c r="M964" s="7"/>
      <c r="N964" s="7"/>
    </row>
    <row r="965">
      <c r="A965" s="8"/>
      <c r="I965" s="7"/>
      <c r="J965" s="7"/>
      <c r="K965" s="7"/>
      <c r="L965" s="7"/>
      <c r="M965" s="7"/>
      <c r="N965" s="7"/>
    </row>
    <row r="966">
      <c r="A966" s="8"/>
      <c r="I966" s="7"/>
      <c r="J966" s="7"/>
      <c r="K966" s="7"/>
      <c r="L966" s="7"/>
      <c r="M966" s="7"/>
      <c r="N966" s="7"/>
    </row>
    <row r="967">
      <c r="A967" s="8"/>
      <c r="I967" s="7"/>
      <c r="J967" s="7"/>
      <c r="K967" s="7"/>
      <c r="L967" s="7"/>
      <c r="M967" s="7"/>
      <c r="N967" s="7"/>
    </row>
    <row r="968">
      <c r="A968" s="8"/>
      <c r="I968" s="7"/>
      <c r="J968" s="7"/>
      <c r="K968" s="7"/>
      <c r="L968" s="7"/>
      <c r="M968" s="7"/>
      <c r="N968" s="7"/>
    </row>
    <row r="969">
      <c r="A969" s="8"/>
      <c r="I969" s="7"/>
      <c r="J969" s="7"/>
      <c r="K969" s="7"/>
      <c r="L969" s="7"/>
      <c r="M969" s="7"/>
      <c r="N969" s="7"/>
    </row>
    <row r="970">
      <c r="A970" s="8"/>
      <c r="I970" s="7"/>
      <c r="J970" s="7"/>
      <c r="K970" s="7"/>
      <c r="L970" s="7"/>
      <c r="M970" s="7"/>
      <c r="N970" s="7"/>
    </row>
    <row r="971">
      <c r="A971" s="8"/>
      <c r="I971" s="7"/>
      <c r="J971" s="7"/>
      <c r="K971" s="7"/>
      <c r="L971" s="7"/>
      <c r="M971" s="7"/>
      <c r="N971" s="7"/>
    </row>
    <row r="972">
      <c r="A972" s="8"/>
      <c r="I972" s="7"/>
      <c r="J972" s="7"/>
      <c r="K972" s="7"/>
      <c r="L972" s="7"/>
      <c r="M972" s="7"/>
      <c r="N972" s="7"/>
    </row>
    <row r="973">
      <c r="A973" s="8"/>
      <c r="I973" s="7"/>
      <c r="J973" s="7"/>
      <c r="K973" s="7"/>
      <c r="L973" s="7"/>
      <c r="M973" s="7"/>
      <c r="N973" s="7"/>
    </row>
    <row r="974">
      <c r="A974" s="8"/>
      <c r="I974" s="7"/>
      <c r="J974" s="7"/>
      <c r="K974" s="7"/>
      <c r="L974" s="7"/>
      <c r="M974" s="7"/>
      <c r="N974" s="7"/>
    </row>
    <row r="975">
      <c r="A975" s="8"/>
      <c r="I975" s="7"/>
      <c r="J975" s="7"/>
      <c r="K975" s="7"/>
      <c r="L975" s="7"/>
      <c r="M975" s="7"/>
      <c r="N975" s="7"/>
    </row>
    <row r="976">
      <c r="A976" s="8"/>
      <c r="I976" s="7"/>
      <c r="J976" s="7"/>
      <c r="K976" s="7"/>
      <c r="L976" s="7"/>
      <c r="M976" s="7"/>
      <c r="N976" s="7"/>
    </row>
    <row r="977">
      <c r="A977" s="8"/>
      <c r="I977" s="7"/>
      <c r="J977" s="7"/>
      <c r="K977" s="7"/>
      <c r="L977" s="7"/>
      <c r="M977" s="7"/>
      <c r="N977" s="7"/>
    </row>
    <row r="978">
      <c r="A978" s="8"/>
      <c r="I978" s="7"/>
      <c r="J978" s="7"/>
      <c r="K978" s="7"/>
      <c r="L978" s="7"/>
      <c r="M978" s="7"/>
      <c r="N978" s="7"/>
    </row>
    <row r="979">
      <c r="A979" s="8"/>
      <c r="I979" s="7"/>
      <c r="J979" s="7"/>
      <c r="K979" s="7"/>
      <c r="L979" s="7"/>
      <c r="M979" s="7"/>
      <c r="N979" s="7"/>
    </row>
    <row r="980">
      <c r="A980" s="8"/>
      <c r="I980" s="7"/>
      <c r="J980" s="7"/>
      <c r="K980" s="7"/>
      <c r="L980" s="7"/>
      <c r="M980" s="7"/>
      <c r="N980" s="7"/>
    </row>
    <row r="981">
      <c r="A981" s="8"/>
      <c r="I981" s="7"/>
      <c r="J981" s="7"/>
      <c r="K981" s="7"/>
      <c r="L981" s="7"/>
      <c r="M981" s="7"/>
      <c r="N981" s="7"/>
    </row>
    <row r="982">
      <c r="A982" s="8"/>
      <c r="I982" s="7"/>
      <c r="J982" s="7"/>
      <c r="K982" s="7"/>
      <c r="L982" s="7"/>
      <c r="M982" s="7"/>
      <c r="N982" s="7"/>
    </row>
    <row r="983">
      <c r="A983" s="8"/>
      <c r="I983" s="7"/>
      <c r="J983" s="7"/>
      <c r="K983" s="7"/>
      <c r="L983" s="7"/>
      <c r="M983" s="7"/>
      <c r="N983" s="7"/>
    </row>
    <row r="984">
      <c r="A984" s="8"/>
      <c r="I984" s="7"/>
      <c r="J984" s="7"/>
      <c r="K984" s="7"/>
      <c r="L984" s="7"/>
      <c r="M984" s="7"/>
      <c r="N984" s="7"/>
    </row>
    <row r="985">
      <c r="A985" s="8"/>
      <c r="I985" s="7"/>
      <c r="J985" s="7"/>
      <c r="K985" s="7"/>
      <c r="L985" s="7"/>
      <c r="M985" s="7"/>
      <c r="N985" s="7"/>
    </row>
    <row r="986">
      <c r="A986" s="8"/>
      <c r="I986" s="7"/>
      <c r="J986" s="7"/>
      <c r="K986" s="7"/>
      <c r="L986" s="7"/>
      <c r="M986" s="7"/>
      <c r="N986" s="7"/>
    </row>
    <row r="987">
      <c r="A987" s="8"/>
      <c r="I987" s="7"/>
      <c r="J987" s="7"/>
      <c r="K987" s="7"/>
      <c r="L987" s="7"/>
      <c r="M987" s="7"/>
      <c r="N987" s="7"/>
    </row>
    <row r="988">
      <c r="A988" s="8"/>
      <c r="I988" s="7"/>
      <c r="J988" s="7"/>
      <c r="K988" s="7"/>
      <c r="L988" s="7"/>
      <c r="M988" s="7"/>
      <c r="N988" s="7"/>
    </row>
    <row r="989">
      <c r="A989" s="8"/>
      <c r="I989" s="7"/>
      <c r="J989" s="7"/>
      <c r="K989" s="7"/>
      <c r="L989" s="7"/>
      <c r="M989" s="7"/>
      <c r="N989" s="7"/>
    </row>
    <row r="990">
      <c r="A990" s="8"/>
      <c r="I990" s="7"/>
      <c r="J990" s="7"/>
      <c r="K990" s="7"/>
      <c r="L990" s="7"/>
      <c r="M990" s="7"/>
      <c r="N990" s="7"/>
    </row>
    <row r="991">
      <c r="A991" s="8"/>
      <c r="I991" s="7"/>
      <c r="J991" s="7"/>
      <c r="K991" s="7"/>
      <c r="L991" s="7"/>
      <c r="M991" s="7"/>
      <c r="N991" s="7"/>
    </row>
    <row r="992">
      <c r="A992" s="8"/>
      <c r="I992" s="7"/>
      <c r="J992" s="7"/>
      <c r="K992" s="7"/>
      <c r="L992" s="7"/>
      <c r="M992" s="7"/>
      <c r="N992" s="7"/>
    </row>
    <row r="993">
      <c r="A993" s="8"/>
      <c r="I993" s="7"/>
      <c r="J993" s="7"/>
      <c r="K993" s="7"/>
      <c r="L993" s="7"/>
      <c r="M993" s="7"/>
      <c r="N993" s="7"/>
    </row>
    <row r="994">
      <c r="A994" s="8"/>
      <c r="I994" s="7"/>
      <c r="J994" s="7"/>
      <c r="K994" s="7"/>
      <c r="L994" s="7"/>
      <c r="M994" s="7"/>
      <c r="N994" s="7"/>
    </row>
    <row r="995">
      <c r="A995" s="8"/>
      <c r="I995" s="7"/>
      <c r="J995" s="7"/>
      <c r="K995" s="7"/>
      <c r="L995" s="7"/>
      <c r="M995" s="7"/>
      <c r="N995" s="7"/>
    </row>
    <row r="996">
      <c r="A996" s="8"/>
      <c r="I996" s="7"/>
      <c r="J996" s="7"/>
      <c r="K996" s="7"/>
      <c r="L996" s="7"/>
      <c r="M996" s="7"/>
      <c r="N996" s="7"/>
    </row>
    <row r="997">
      <c r="A997" s="8"/>
      <c r="I997" s="7"/>
      <c r="J997" s="7"/>
      <c r="K997" s="7"/>
      <c r="L997" s="7"/>
      <c r="M997" s="7"/>
      <c r="N997" s="7"/>
    </row>
    <row r="998">
      <c r="A998" s="8"/>
      <c r="I998" s="7"/>
      <c r="J998" s="7"/>
      <c r="K998" s="7"/>
      <c r="L998" s="7"/>
      <c r="M998" s="7"/>
      <c r="N998" s="7"/>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sheetData>
    <row r="1">
      <c r="A1" s="1" t="s">
        <v>0</v>
      </c>
      <c r="B1" s="2" t="s">
        <v>1</v>
      </c>
      <c r="C1" s="2" t="s">
        <v>2</v>
      </c>
      <c r="D1" s="2" t="s">
        <v>3</v>
      </c>
      <c r="E1" s="2" t="s">
        <v>4</v>
      </c>
      <c r="F1" s="2" t="s">
        <v>5</v>
      </c>
      <c r="G1" s="2" t="s">
        <v>6</v>
      </c>
      <c r="H1" s="2" t="s">
        <v>7</v>
      </c>
      <c r="I1" s="2" t="s">
        <v>61</v>
      </c>
      <c r="J1" s="3"/>
      <c r="K1" s="3"/>
      <c r="L1" s="3"/>
      <c r="M1" s="3"/>
      <c r="N1" s="3"/>
      <c r="O1" s="3"/>
      <c r="P1" s="3"/>
      <c r="Q1" s="3"/>
      <c r="R1" s="3"/>
      <c r="S1" s="3"/>
      <c r="T1" s="3"/>
      <c r="U1" s="3"/>
      <c r="V1" s="3"/>
      <c r="W1" s="3"/>
      <c r="X1" s="3"/>
      <c r="Y1" s="3"/>
    </row>
    <row r="2">
      <c r="A2" s="8" t="str">
        <f>questionnaire!A2</f>
        <v>2021-07</v>
      </c>
      <c r="B2" s="9" t="str">
        <f>questionnaire!B2</f>
        <v>北澤 由貴(Yoshitaka Kitazawa)_PF-Point</v>
      </c>
      <c r="C2" s="9">
        <f>questionnaire!C2</f>
        <v>5</v>
      </c>
      <c r="D2" s="9">
        <f>questionnaire!D2</f>
        <v>4</v>
      </c>
      <c r="E2" s="9">
        <f>questionnaire!E2</f>
        <v>7</v>
      </c>
      <c r="F2" s="9">
        <f>8-questionnaire!F2</f>
        <v>3</v>
      </c>
      <c r="G2" s="9">
        <f>8-questionnaire!G2</f>
        <v>6</v>
      </c>
      <c r="H2" s="9">
        <f>8-questionnaire!H2</f>
        <v>7</v>
      </c>
      <c r="I2" s="9">
        <f>C2*10+D2*5+E2*1.66-(questionnaire!F2*1.66+questionnaire!G2*5+questionnaire!H2*10)</f>
        <v>53.32</v>
      </c>
    </row>
    <row r="3">
      <c r="A3" s="8" t="str">
        <f>questionnaire!A3</f>
        <v>2021-07</v>
      </c>
      <c r="B3" s="9" t="str">
        <f>questionnaire!B3</f>
        <v>小西 一平(Konishi Ippei)_PF</v>
      </c>
      <c r="C3" s="9">
        <f>questionnaire!C3</f>
        <v>5</v>
      </c>
      <c r="D3" s="9">
        <f>questionnaire!D3</f>
        <v>6</v>
      </c>
      <c r="E3" s="9">
        <f>questionnaire!E3</f>
        <v>4</v>
      </c>
      <c r="F3" s="9">
        <f>8-questionnaire!F3</f>
        <v>2</v>
      </c>
      <c r="G3" s="9">
        <f>8-questionnaire!G3</f>
        <v>7</v>
      </c>
      <c r="H3" s="9">
        <f>8-questionnaire!H3</f>
        <v>7</v>
      </c>
      <c r="I3" s="9">
        <f>C3*10+D3*5+E3*1.66-(questionnaire!F3*1.66+questionnaire!G3*5+questionnaire!H3*10)</f>
        <v>61.68</v>
      </c>
    </row>
    <row r="4">
      <c r="A4" s="8" t="str">
        <f>questionnaire!A4</f>
        <v>2021-07</v>
      </c>
      <c r="B4" s="9" t="str">
        <f>questionnaire!B4</f>
        <v>岡本 忠浩(Tadahiro Okamoto, okp)_PF</v>
      </c>
      <c r="C4" s="9">
        <f>questionnaire!C4</f>
        <v>5</v>
      </c>
      <c r="D4" s="9">
        <f>questionnaire!D4</f>
        <v>5</v>
      </c>
      <c r="E4" s="9">
        <f>questionnaire!E4</f>
        <v>5</v>
      </c>
      <c r="F4" s="9">
        <f>8-questionnaire!F4</f>
        <v>3</v>
      </c>
      <c r="G4" s="9">
        <f>8-questionnaire!G4</f>
        <v>7</v>
      </c>
      <c r="H4" s="9">
        <f>8-questionnaire!H4</f>
        <v>7</v>
      </c>
      <c r="I4" s="9">
        <f>C4*10+D4*5+E4*1.66-(questionnaire!F4*1.66+questionnaire!G4*5+questionnaire!H4*10)</f>
        <v>60</v>
      </c>
    </row>
    <row r="5">
      <c r="A5" s="8" t="str">
        <f>questionnaire!A5</f>
        <v>2021-07</v>
      </c>
      <c r="B5" s="9" t="str">
        <f>questionnaire!B5</f>
        <v>谷内 春氏(yachi-shunji)_Com_PF-Point</v>
      </c>
      <c r="C5" s="9">
        <f>questionnaire!C5</f>
        <v>3</v>
      </c>
      <c r="D5" s="9">
        <f>questionnaire!D5</f>
        <v>2</v>
      </c>
      <c r="E5" s="9">
        <f>questionnaire!E5</f>
        <v>4</v>
      </c>
      <c r="F5" s="9">
        <f>8-questionnaire!F5</f>
        <v>3</v>
      </c>
      <c r="G5" s="9">
        <f>8-questionnaire!G5</f>
        <v>6</v>
      </c>
      <c r="H5" s="9">
        <f>8-questionnaire!H5</f>
        <v>7</v>
      </c>
      <c r="I5" s="9">
        <f>C5*10+D5*5+E5*1.66-(questionnaire!F5*1.66+questionnaire!G5*5+questionnaire!H5*10)</f>
        <v>18.34</v>
      </c>
    </row>
    <row r="6">
      <c r="A6" s="8" t="str">
        <f>questionnaire!A6</f>
        <v>2021-07</v>
      </c>
      <c r="B6" s="9" t="str">
        <f>questionnaire!B6</f>
        <v>Felius Frank_sys-pf</v>
      </c>
      <c r="C6" s="9">
        <f>questionnaire!C6</f>
        <v>5</v>
      </c>
      <c r="D6" s="9">
        <f>questionnaire!D6</f>
        <v>7</v>
      </c>
      <c r="E6" s="9">
        <f>questionnaire!E6</f>
        <v>6</v>
      </c>
      <c r="F6" s="9">
        <f>8-questionnaire!F6</f>
        <v>3</v>
      </c>
      <c r="G6" s="9">
        <f>8-questionnaire!G6</f>
        <v>7</v>
      </c>
      <c r="H6" s="9">
        <f>8-questionnaire!H6</f>
        <v>7</v>
      </c>
      <c r="I6" s="9">
        <f>C6*10+D6*5+E6*1.66-(questionnaire!F6*1.66+questionnaire!G6*5+questionnaire!H6*10)</f>
        <v>71.66</v>
      </c>
    </row>
    <row r="7">
      <c r="A7" s="8" t="str">
        <f>questionnaire!A7</f>
        <v>2021-07</v>
      </c>
      <c r="B7" s="9" t="str">
        <f>questionnaire!B7</f>
        <v>大村 真琴(Omura Makoto)_CTO室/VPoE室</v>
      </c>
      <c r="C7" s="9">
        <f>questionnaire!C7</f>
        <v>4</v>
      </c>
      <c r="D7" s="9">
        <f>questionnaire!D7</f>
        <v>5</v>
      </c>
      <c r="E7" s="9">
        <f>questionnaire!E7</f>
        <v>6</v>
      </c>
      <c r="F7" s="9">
        <f>8-questionnaire!F7</f>
        <v>7</v>
      </c>
      <c r="G7" s="9">
        <f>8-questionnaire!G7</f>
        <v>4</v>
      </c>
      <c r="H7" s="9">
        <f>8-questionnaire!H7</f>
        <v>4</v>
      </c>
      <c r="I7" s="9">
        <f>C7*10+D7*5+E7*1.66-(questionnaire!F7*1.66+questionnaire!G7*5+questionnaire!H7*10)</f>
        <v>13.3</v>
      </c>
    </row>
    <row r="8">
      <c r="A8" s="8" t="str">
        <f>questionnaire!A8</f>
        <v>2021-07</v>
      </c>
      <c r="B8" s="9" t="str">
        <f>questionnaire!B8</f>
        <v>村岡 功(muraoka-ko)_pf-pointclub</v>
      </c>
      <c r="C8" s="9">
        <f>questionnaire!C8</f>
        <v>6</v>
      </c>
      <c r="D8" s="9">
        <f>questionnaire!D8</f>
        <v>6</v>
      </c>
      <c r="E8" s="9">
        <f>questionnaire!E8</f>
        <v>6</v>
      </c>
      <c r="F8" s="9">
        <f>8-questionnaire!F8</f>
        <v>5</v>
      </c>
      <c r="G8" s="9">
        <f>8-questionnaire!G8</f>
        <v>7</v>
      </c>
      <c r="H8" s="9">
        <f>8-questionnaire!H8</f>
        <v>7</v>
      </c>
      <c r="I8" s="9">
        <f>C8*10+D8*5+E8*1.66-(questionnaire!F8*1.66+questionnaire!G8*5+questionnaire!H8*10)</f>
        <v>79.98</v>
      </c>
    </row>
    <row r="9">
      <c r="A9" s="8" t="str">
        <f>questionnaire!A9</f>
        <v>2021-07</v>
      </c>
      <c r="B9" s="9" t="str">
        <f>questionnaire!B9</f>
        <v>佐藤 直樹(Sato Naoki)_PF-Point</v>
      </c>
      <c r="C9" s="9">
        <f>questionnaire!C9</f>
        <v>6</v>
      </c>
      <c r="D9" s="9">
        <f>questionnaire!D9</f>
        <v>7</v>
      </c>
      <c r="E9" s="9">
        <f>questionnaire!E9</f>
        <v>7</v>
      </c>
      <c r="F9" s="9">
        <f>8-questionnaire!F9</f>
        <v>4</v>
      </c>
      <c r="G9" s="9">
        <f>8-questionnaire!G9</f>
        <v>7</v>
      </c>
      <c r="H9" s="9">
        <f>8-questionnaire!H9</f>
        <v>7</v>
      </c>
      <c r="I9" s="9">
        <f>C9*10+D9*5+E9*1.66-(questionnaire!F9*1.66+questionnaire!G9*5+questionnaire!H9*10)</f>
        <v>84.98</v>
      </c>
    </row>
    <row r="10">
      <c r="A10" s="8" t="str">
        <f>questionnaire!A10</f>
        <v>2021-08</v>
      </c>
      <c r="B10" s="9" t="str">
        <f>questionnaire!B10</f>
        <v>村岡 功(muraoka-ko)_pf-pointclub</v>
      </c>
      <c r="C10" s="9">
        <f>questionnaire!C10</f>
        <v>5</v>
      </c>
      <c r="D10" s="9">
        <f>questionnaire!D10</f>
        <v>5</v>
      </c>
      <c r="E10" s="9">
        <f>questionnaire!E10</f>
        <v>6</v>
      </c>
      <c r="F10" s="9">
        <f>8-questionnaire!F10</f>
        <v>4</v>
      </c>
      <c r="G10" s="9">
        <f>8-questionnaire!G10</f>
        <v>5</v>
      </c>
      <c r="H10" s="9">
        <f>8-questionnaire!H10</f>
        <v>7</v>
      </c>
      <c r="I10" s="9">
        <f>C10*10+D10*5+E10*1.66-(questionnaire!F10*1.66+questionnaire!G10*5+questionnaire!H10*10)</f>
        <v>53.32</v>
      </c>
    </row>
    <row r="11">
      <c r="A11" s="8" t="str">
        <f>questionnaire!A11</f>
        <v>2021-08</v>
      </c>
      <c r="B11" s="9" t="str">
        <f>questionnaire!B11</f>
        <v>柏熊 宏幸(Kashiwaguma Hiroyuki)_PF-Point</v>
      </c>
      <c r="C11" s="9">
        <f>questionnaire!C11</f>
        <v>6</v>
      </c>
      <c r="D11" s="9">
        <f>questionnaire!D11</f>
        <v>6</v>
      </c>
      <c r="E11" s="9">
        <f>questionnaire!E11</f>
        <v>5</v>
      </c>
      <c r="F11" s="9">
        <f>8-questionnaire!F11</f>
        <v>2</v>
      </c>
      <c r="G11" s="9">
        <f>8-questionnaire!G11</f>
        <v>1</v>
      </c>
      <c r="H11" s="9">
        <f>8-questionnaire!H11</f>
        <v>3</v>
      </c>
      <c r="I11" s="9">
        <f>C11*10+D11*5+E11*1.66-(questionnaire!F11*1.66+questionnaire!G11*5+questionnaire!H11*10)</f>
        <v>3.34</v>
      </c>
    </row>
    <row r="12">
      <c r="A12" s="8" t="str">
        <f>questionnaire!A12</f>
        <v>2021-08</v>
      </c>
      <c r="B12" s="9" t="str">
        <f>questionnaire!B12</f>
        <v>岡本 忠浩(Tadahiro Okamoto, okp)_PF</v>
      </c>
      <c r="C12" s="9">
        <f>questionnaire!C12</f>
        <v>4</v>
      </c>
      <c r="D12" s="9">
        <f>questionnaire!D12</f>
        <v>4</v>
      </c>
      <c r="E12" s="9">
        <f>questionnaire!E12</f>
        <v>4</v>
      </c>
      <c r="F12" s="9">
        <f>8-questionnaire!F12</f>
        <v>7</v>
      </c>
      <c r="G12" s="9">
        <f>8-questionnaire!G12</f>
        <v>7</v>
      </c>
      <c r="H12" s="9">
        <f>8-questionnaire!H12</f>
        <v>7</v>
      </c>
      <c r="I12" s="9">
        <f>C12*10+D12*5+E12*1.66-(questionnaire!F12*1.66+questionnaire!G12*5+questionnaire!H12*10)</f>
        <v>49.98</v>
      </c>
    </row>
    <row r="13">
      <c r="A13" s="8" t="str">
        <f>questionnaire!A13</f>
        <v>2021-08</v>
      </c>
      <c r="B13" s="9" t="str">
        <f>questionnaire!B13</f>
        <v>Felius Frank_sys-pf</v>
      </c>
      <c r="C13" s="9">
        <f>questionnaire!C13</f>
        <v>5</v>
      </c>
      <c r="D13" s="9">
        <f>questionnaire!D13</f>
        <v>7</v>
      </c>
      <c r="E13" s="9">
        <f>questionnaire!E13</f>
        <v>7</v>
      </c>
      <c r="F13" s="9">
        <f>8-questionnaire!F13</f>
        <v>5</v>
      </c>
      <c r="G13" s="9">
        <f>8-questionnaire!G13</f>
        <v>7</v>
      </c>
      <c r="H13" s="9">
        <f>8-questionnaire!H13</f>
        <v>7</v>
      </c>
      <c r="I13" s="9">
        <f>C13*10+D13*5+E13*1.66-(questionnaire!F13*1.66+questionnaire!G13*5+questionnaire!H13*10)</f>
        <v>76.64</v>
      </c>
    </row>
    <row r="14">
      <c r="A14" s="8" t="str">
        <f>questionnaire!A14</f>
        <v>202108</v>
      </c>
      <c r="B14" s="9" t="str">
        <f>questionnaire!B14</f>
        <v>大村 真琴(Omura Makoto)_CTO室/VPoE室</v>
      </c>
      <c r="C14" s="9">
        <f>questionnaire!C14</f>
        <v>4</v>
      </c>
      <c r="D14" s="9">
        <f>questionnaire!D14</f>
        <v>7</v>
      </c>
      <c r="E14" s="9">
        <f>questionnaire!E14</f>
        <v>4</v>
      </c>
      <c r="F14" s="9">
        <f>8-questionnaire!F14</f>
        <v>7</v>
      </c>
      <c r="G14" s="9">
        <f>8-questionnaire!G14</f>
        <v>4</v>
      </c>
      <c r="H14" s="9">
        <f>8-questionnaire!H14</f>
        <v>7</v>
      </c>
      <c r="I14" s="9">
        <f>C14*10+D14*5+E14*1.66-(questionnaire!F14*1.66+questionnaire!G14*5+questionnaire!H14*10)</f>
        <v>49.98</v>
      </c>
    </row>
    <row r="15">
      <c r="A15" s="8" t="str">
        <f>questionnaire!A15</f>
        <v>2021-08</v>
      </c>
      <c r="B15" s="9" t="str">
        <f>questionnaire!B15</f>
        <v>谷内 春氏(yachi-shunji)_Com_PF-Point</v>
      </c>
      <c r="C15" s="9">
        <f>questionnaire!C15</f>
        <v>4</v>
      </c>
      <c r="D15" s="9">
        <f>questionnaire!D15</f>
        <v>3</v>
      </c>
      <c r="E15" s="9">
        <f>questionnaire!E15</f>
        <v>5</v>
      </c>
      <c r="F15" s="9">
        <f>8-questionnaire!F15</f>
        <v>3</v>
      </c>
      <c r="G15" s="9">
        <f>8-questionnaire!G15</f>
        <v>6</v>
      </c>
      <c r="H15" s="9">
        <f>8-questionnaire!H15</f>
        <v>6</v>
      </c>
      <c r="I15" s="9">
        <f>C15*10+D15*5+E15*1.66-(questionnaire!F15*1.66+questionnaire!G15*5+questionnaire!H15*10)</f>
        <v>25</v>
      </c>
    </row>
    <row r="16">
      <c r="A16" s="8" t="str">
        <f>questionnaire!A16</f>
        <v>2021-09</v>
      </c>
      <c r="B16" s="9" t="str">
        <f>questionnaire!B16</f>
        <v>谷内 春氏(yachi-shunji)_Com_PF-Point</v>
      </c>
      <c r="C16" s="9">
        <f>questionnaire!C16</f>
        <v>5</v>
      </c>
      <c r="D16" s="9">
        <f>questionnaire!D16</f>
        <v>3</v>
      </c>
      <c r="E16" s="9">
        <f>questionnaire!E16</f>
        <v>4</v>
      </c>
      <c r="F16" s="9">
        <f>8-questionnaire!F16</f>
        <v>5</v>
      </c>
      <c r="G16" s="9">
        <f>8-questionnaire!G16</f>
        <v>6</v>
      </c>
      <c r="H16" s="9">
        <f>8-questionnaire!H16</f>
        <v>6</v>
      </c>
      <c r="I16" s="9">
        <f>C16*10+D16*5+E16*1.66-(questionnaire!F16*1.66+questionnaire!G16*5+questionnaire!H16*10)</f>
        <v>36.66</v>
      </c>
    </row>
    <row r="17">
      <c r="A17" s="8" t="str">
        <f>questionnaire!A17</f>
        <v>202109</v>
      </c>
      <c r="B17" s="9" t="str">
        <f>questionnaire!B17</f>
        <v>柏熊 宏幸(Kashiwaguma Hiroyuki)_PF-Point</v>
      </c>
      <c r="C17" s="9">
        <f>questionnaire!C17</f>
        <v>4</v>
      </c>
      <c r="D17" s="9">
        <f>questionnaire!D17</f>
        <v>6</v>
      </c>
      <c r="E17" s="9">
        <f>questionnaire!E17</f>
        <v>6</v>
      </c>
      <c r="F17" s="9">
        <f>8-questionnaire!F17</f>
        <v>2</v>
      </c>
      <c r="G17" s="9">
        <f>8-questionnaire!G17</f>
        <v>1</v>
      </c>
      <c r="H17" s="9">
        <f>8-questionnaire!H17</f>
        <v>4</v>
      </c>
      <c r="I17" s="9">
        <f>C17*10+D17*5+E17*1.66-(questionnaire!F17*1.66+questionnaire!G17*5+questionnaire!H17*10)</f>
        <v>-5</v>
      </c>
    </row>
    <row r="18">
      <c r="A18" s="8" t="str">
        <f>questionnaire!A18</f>
        <v>2021-09</v>
      </c>
      <c r="B18" s="9" t="str">
        <f>questionnaire!B18</f>
        <v>村岡 功(muraoka-ko)_pf-pointclub</v>
      </c>
      <c r="C18" s="9">
        <f>questionnaire!C18</f>
        <v>5</v>
      </c>
      <c r="D18" s="9">
        <f>questionnaire!D18</f>
        <v>5</v>
      </c>
      <c r="E18" s="9">
        <f>questionnaire!E18</f>
        <v>2</v>
      </c>
      <c r="F18" s="9">
        <f>8-questionnaire!F18</f>
        <v>7</v>
      </c>
      <c r="G18" s="9">
        <f>8-questionnaire!G18</f>
        <v>7</v>
      </c>
      <c r="H18" s="9">
        <f>8-questionnaire!H18</f>
        <v>3</v>
      </c>
      <c r="I18" s="9">
        <f>C18*10+D18*5+E18*1.66-(questionnaire!F18*1.66+questionnaire!G18*5+questionnaire!H18*10)</f>
        <v>21.66</v>
      </c>
    </row>
    <row r="19">
      <c r="A19" s="8" t="str">
        <f>questionnaire!A19</f>
        <v>2021-09</v>
      </c>
      <c r="B19" s="9" t="str">
        <f>questionnaire!B19</f>
        <v>佐藤 直樹(Sato Naoki)_PF-Point</v>
      </c>
      <c r="C19" s="9">
        <f>questionnaire!C19</f>
        <v>6</v>
      </c>
      <c r="D19" s="9">
        <f>questionnaire!D19</f>
        <v>7</v>
      </c>
      <c r="E19" s="9">
        <f>questionnaire!E19</f>
        <v>7</v>
      </c>
      <c r="F19" s="9">
        <f>8-questionnaire!F19</f>
        <v>5</v>
      </c>
      <c r="G19" s="9">
        <f>8-questionnaire!G19</f>
        <v>6</v>
      </c>
      <c r="H19" s="9">
        <f>8-questionnaire!H19</f>
        <v>7</v>
      </c>
      <c r="I19" s="9">
        <f>C19*10+D19*5+E19*1.66-(questionnaire!F19*1.66+questionnaire!G19*5+questionnaire!H19*10)</f>
        <v>81.64</v>
      </c>
    </row>
    <row r="20">
      <c r="A20" s="8" t="str">
        <f>questionnaire!A20</f>
        <v/>
      </c>
      <c r="B20" s="9" t="str">
        <f>questionnaire!B20</f>
        <v/>
      </c>
      <c r="C20" s="9" t="str">
        <f>questionnaire!C20</f>
        <v/>
      </c>
      <c r="D20" s="9" t="str">
        <f>questionnaire!D20</f>
        <v/>
      </c>
      <c r="E20" s="9" t="str">
        <f>questionnaire!E20</f>
        <v/>
      </c>
      <c r="F20" s="9">
        <f>8-questionnaire!F20</f>
        <v>8</v>
      </c>
      <c r="G20" s="9">
        <f>8-questionnaire!G20</f>
        <v>8</v>
      </c>
      <c r="H20" s="9">
        <f>8-questionnaire!H20</f>
        <v>8</v>
      </c>
      <c r="I20" s="9">
        <f>C20*10+D20*5+E20*1.66-(questionnaire!F20*1.66+questionnaire!G20*5+questionnaire!H20*10)</f>
        <v>0</v>
      </c>
    </row>
    <row r="21">
      <c r="A21" s="8" t="str">
        <f>questionnaire!A21</f>
        <v/>
      </c>
      <c r="B21" s="9" t="str">
        <f>questionnaire!B21</f>
        <v/>
      </c>
      <c r="C21" s="9" t="str">
        <f>questionnaire!C21</f>
        <v/>
      </c>
      <c r="D21" s="9" t="str">
        <f>questionnaire!D21</f>
        <v/>
      </c>
      <c r="E21" s="9" t="str">
        <f>questionnaire!E21</f>
        <v/>
      </c>
      <c r="F21" s="9">
        <f>8-questionnaire!F21</f>
        <v>8</v>
      </c>
      <c r="G21" s="9">
        <f>8-questionnaire!G21</f>
        <v>8</v>
      </c>
      <c r="H21" s="9">
        <f>8-questionnaire!H21</f>
        <v>8</v>
      </c>
      <c r="I21" s="9">
        <f>C21*10+D21*5+E21*1.66-(questionnaire!F21*1.66+questionnaire!G21*5+questionnaire!H21*10)</f>
        <v>0</v>
      </c>
    </row>
    <row r="22">
      <c r="A22" s="8" t="str">
        <f>questionnaire!A22</f>
        <v/>
      </c>
      <c r="B22" s="9" t="str">
        <f>questionnaire!B22</f>
        <v/>
      </c>
      <c r="C22" s="9" t="str">
        <f>questionnaire!C22</f>
        <v/>
      </c>
      <c r="D22" s="9" t="str">
        <f>questionnaire!D22</f>
        <v/>
      </c>
      <c r="E22" s="9" t="str">
        <f>questionnaire!E22</f>
        <v/>
      </c>
      <c r="F22" s="9">
        <f>8-questionnaire!F22</f>
        <v>8</v>
      </c>
      <c r="G22" s="9">
        <f>8-questionnaire!G22</f>
        <v>8</v>
      </c>
      <c r="H22" s="9">
        <f>8-questionnaire!H22</f>
        <v>8</v>
      </c>
      <c r="I22" s="9">
        <f>C22*10+D22*5+E22*1.66-(questionnaire!F22*1.66+questionnaire!G22*5+questionnaire!H22*10)</f>
        <v>0</v>
      </c>
    </row>
    <row r="23">
      <c r="A23" s="8" t="str">
        <f>questionnaire!A23</f>
        <v/>
      </c>
      <c r="B23" s="9" t="str">
        <f>questionnaire!B23</f>
        <v/>
      </c>
      <c r="C23" s="9" t="str">
        <f>questionnaire!C23</f>
        <v/>
      </c>
      <c r="D23" s="9" t="str">
        <f>questionnaire!D23</f>
        <v/>
      </c>
      <c r="E23" s="9" t="str">
        <f>questionnaire!E23</f>
        <v/>
      </c>
      <c r="F23" s="9">
        <f>8-questionnaire!F23</f>
        <v>8</v>
      </c>
      <c r="G23" s="9">
        <f>8-questionnaire!G23</f>
        <v>8</v>
      </c>
      <c r="H23" s="9">
        <f>8-questionnaire!H23</f>
        <v>8</v>
      </c>
      <c r="I23" s="9">
        <f>C23*10+D23*5+E23*1.66-(questionnaire!F23*1.66+questionnaire!G23*5+questionnaire!H23*10)</f>
        <v>0</v>
      </c>
    </row>
    <row r="24">
      <c r="A24" s="8" t="str">
        <f>questionnaire!A24</f>
        <v/>
      </c>
      <c r="B24" s="9" t="str">
        <f>questionnaire!B24</f>
        <v/>
      </c>
      <c r="C24" s="9" t="str">
        <f>questionnaire!C24</f>
        <v/>
      </c>
      <c r="D24" s="9" t="str">
        <f>questionnaire!D24</f>
        <v/>
      </c>
      <c r="E24" s="9" t="str">
        <f>questionnaire!E24</f>
        <v/>
      </c>
      <c r="F24" s="9">
        <f>8-questionnaire!F24</f>
        <v>8</v>
      </c>
      <c r="G24" s="9">
        <f>8-questionnaire!G24</f>
        <v>8</v>
      </c>
      <c r="H24" s="9">
        <f>8-questionnaire!H24</f>
        <v>8</v>
      </c>
      <c r="I24" s="9">
        <f>C24*10+D24*5+E24*1.66-(questionnaire!F24*1.66+questionnaire!G24*5+questionnaire!H24*10)</f>
        <v>0</v>
      </c>
    </row>
    <row r="25">
      <c r="A25" s="8" t="str">
        <f>questionnaire!A25</f>
        <v/>
      </c>
      <c r="B25" s="9" t="str">
        <f>questionnaire!B25</f>
        <v/>
      </c>
      <c r="C25" s="9" t="str">
        <f>questionnaire!C25</f>
        <v/>
      </c>
      <c r="D25" s="9" t="str">
        <f>questionnaire!D25</f>
        <v/>
      </c>
      <c r="E25" s="9" t="str">
        <f>questionnaire!E25</f>
        <v/>
      </c>
      <c r="F25" s="9">
        <f>8-questionnaire!F25</f>
        <v>8</v>
      </c>
      <c r="G25" s="9">
        <f>8-questionnaire!G25</f>
        <v>8</v>
      </c>
      <c r="H25" s="9">
        <f>8-questionnaire!H25</f>
        <v>8</v>
      </c>
      <c r="I25" s="9">
        <f>C25*10+D25*5+E25*1.66-(questionnaire!F25*1.66+questionnaire!G25*5+questionnaire!H25*10)</f>
        <v>0</v>
      </c>
    </row>
    <row r="26">
      <c r="A26" s="8" t="str">
        <f>questionnaire!A26</f>
        <v/>
      </c>
      <c r="B26" s="9" t="str">
        <f>questionnaire!B26</f>
        <v/>
      </c>
      <c r="C26" s="9" t="str">
        <f>questionnaire!C26</f>
        <v/>
      </c>
      <c r="D26" s="9" t="str">
        <f>questionnaire!D26</f>
        <v/>
      </c>
      <c r="E26" s="9" t="str">
        <f>questionnaire!E26</f>
        <v/>
      </c>
      <c r="F26" s="9">
        <f>8-questionnaire!F26</f>
        <v>8</v>
      </c>
      <c r="G26" s="9">
        <f>8-questionnaire!G26</f>
        <v>8</v>
      </c>
      <c r="H26" s="9">
        <f>8-questionnaire!H26</f>
        <v>8</v>
      </c>
      <c r="I26" s="9">
        <f>C26*10+D26*5+E26*1.66-(questionnaire!F26*1.66+questionnaire!G26*5+questionnaire!H26*10)</f>
        <v>0</v>
      </c>
    </row>
    <row r="27">
      <c r="A27" s="8" t="str">
        <f>questionnaire!A27</f>
        <v/>
      </c>
      <c r="B27" s="9" t="str">
        <f>questionnaire!B27</f>
        <v/>
      </c>
      <c r="C27" s="9" t="str">
        <f>questionnaire!C27</f>
        <v/>
      </c>
      <c r="D27" s="9" t="str">
        <f>questionnaire!D27</f>
        <v/>
      </c>
      <c r="E27" s="9" t="str">
        <f>questionnaire!E27</f>
        <v/>
      </c>
      <c r="F27" s="9">
        <f>8-questionnaire!F27</f>
        <v>8</v>
      </c>
      <c r="G27" s="9">
        <f>8-questionnaire!G27</f>
        <v>8</v>
      </c>
      <c r="H27" s="9">
        <f>8-questionnaire!H27</f>
        <v>8</v>
      </c>
      <c r="I27" s="9">
        <f>C27*10+D27*5+E27*1.66-(questionnaire!F27*1.66+questionnaire!G27*5+questionnaire!H27*10)</f>
        <v>0</v>
      </c>
    </row>
    <row r="28">
      <c r="A28" s="8" t="str">
        <f>questionnaire!A28</f>
        <v/>
      </c>
      <c r="B28" s="9" t="str">
        <f>questionnaire!B28</f>
        <v/>
      </c>
      <c r="C28" s="9" t="str">
        <f>questionnaire!C28</f>
        <v/>
      </c>
      <c r="D28" s="9" t="str">
        <f>questionnaire!D28</f>
        <v/>
      </c>
      <c r="E28" s="9" t="str">
        <f>questionnaire!E28</f>
        <v/>
      </c>
      <c r="F28" s="9">
        <f>8-questionnaire!F28</f>
        <v>8</v>
      </c>
      <c r="G28" s="9">
        <f>8-questionnaire!G28</f>
        <v>8</v>
      </c>
      <c r="H28" s="9">
        <f>8-questionnaire!H28</f>
        <v>8</v>
      </c>
      <c r="I28" s="9">
        <f>C28*10+D28*5+E28*1.66-(questionnaire!F28*1.66+questionnaire!G28*5+questionnaire!H28*10)</f>
        <v>0</v>
      </c>
    </row>
    <row r="29">
      <c r="A29" s="8" t="str">
        <f>questionnaire!A29</f>
        <v/>
      </c>
      <c r="B29" s="9" t="str">
        <f>questionnaire!B29</f>
        <v/>
      </c>
      <c r="C29" s="9" t="str">
        <f>questionnaire!C29</f>
        <v/>
      </c>
      <c r="D29" s="9" t="str">
        <f>questionnaire!D29</f>
        <v/>
      </c>
      <c r="E29" s="9" t="str">
        <f>questionnaire!E29</f>
        <v/>
      </c>
      <c r="F29" s="9">
        <f>8-questionnaire!F29</f>
        <v>8</v>
      </c>
      <c r="G29" s="9">
        <f>8-questionnaire!G29</f>
        <v>8</v>
      </c>
      <c r="H29" s="9">
        <f>8-questionnaire!H29</f>
        <v>8</v>
      </c>
      <c r="I29" s="9">
        <f>C29*10+D29*5+E29*1.66-(questionnaire!F29*1.66+questionnaire!G29*5+questionnaire!H29*10)</f>
        <v>0</v>
      </c>
    </row>
    <row r="30">
      <c r="A30" s="8" t="str">
        <f>questionnaire!A30</f>
        <v/>
      </c>
      <c r="B30" s="9" t="str">
        <f>questionnaire!B30</f>
        <v/>
      </c>
      <c r="C30" s="9" t="str">
        <f>questionnaire!C30</f>
        <v/>
      </c>
      <c r="D30" s="9" t="str">
        <f>questionnaire!D30</f>
        <v/>
      </c>
      <c r="E30" s="9" t="str">
        <f>questionnaire!E30</f>
        <v/>
      </c>
      <c r="F30" s="9">
        <f>8-questionnaire!F30</f>
        <v>8</v>
      </c>
      <c r="G30" s="9">
        <f>8-questionnaire!G30</f>
        <v>8</v>
      </c>
      <c r="H30" s="9">
        <f>8-questionnaire!H30</f>
        <v>8</v>
      </c>
      <c r="I30" s="9">
        <f>C30*10+D30*5+E30*1.66-(questionnaire!F30*1.66+questionnaire!G30*5+questionnaire!H30*10)</f>
        <v>0</v>
      </c>
    </row>
    <row r="31">
      <c r="A31" s="8" t="str">
        <f>questionnaire!A31</f>
        <v/>
      </c>
      <c r="B31" s="9" t="str">
        <f>questionnaire!B31</f>
        <v/>
      </c>
      <c r="C31" s="9" t="str">
        <f>questionnaire!C31</f>
        <v/>
      </c>
      <c r="D31" s="9" t="str">
        <f>questionnaire!D31</f>
        <v/>
      </c>
      <c r="E31" s="9" t="str">
        <f>questionnaire!E31</f>
        <v/>
      </c>
      <c r="F31" s="9">
        <f>8-questionnaire!F31</f>
        <v>8</v>
      </c>
      <c r="G31" s="9">
        <f>8-questionnaire!G31</f>
        <v>8</v>
      </c>
      <c r="H31" s="9">
        <f>8-questionnaire!H31</f>
        <v>8</v>
      </c>
      <c r="I31" s="9">
        <f>C31*10+D31*5+E31*1.66-(questionnaire!F31*1.66+questionnaire!G31*5+questionnaire!H31*10)</f>
        <v>0</v>
      </c>
    </row>
    <row r="32">
      <c r="A32" s="8" t="str">
        <f>questionnaire!A32</f>
        <v/>
      </c>
      <c r="B32" s="9" t="str">
        <f>questionnaire!B32</f>
        <v/>
      </c>
      <c r="C32" s="9" t="str">
        <f>questionnaire!C32</f>
        <v/>
      </c>
      <c r="D32" s="9" t="str">
        <f>questionnaire!D32</f>
        <v/>
      </c>
      <c r="E32" s="9" t="str">
        <f>questionnaire!E32</f>
        <v/>
      </c>
      <c r="F32" s="9">
        <f>8-questionnaire!F32</f>
        <v>8</v>
      </c>
      <c r="G32" s="9">
        <f>8-questionnaire!G32</f>
        <v>8</v>
      </c>
      <c r="H32" s="9">
        <f>8-questionnaire!H32</f>
        <v>8</v>
      </c>
      <c r="I32" s="9">
        <f>C32*10+D32*5+E32*1.66-(questionnaire!F32*1.66+questionnaire!G32*5+questionnaire!H32*10)</f>
        <v>0</v>
      </c>
    </row>
    <row r="33">
      <c r="A33" s="8" t="str">
        <f>questionnaire!A33</f>
        <v/>
      </c>
      <c r="B33" s="9" t="str">
        <f>questionnaire!B33</f>
        <v/>
      </c>
      <c r="C33" s="9" t="str">
        <f>questionnaire!C33</f>
        <v/>
      </c>
      <c r="D33" s="9" t="str">
        <f>questionnaire!D33</f>
        <v/>
      </c>
      <c r="E33" s="9" t="str">
        <f>questionnaire!E33</f>
        <v/>
      </c>
      <c r="F33" s="9">
        <f>8-questionnaire!F33</f>
        <v>8</v>
      </c>
      <c r="G33" s="9">
        <f>8-questionnaire!G33</f>
        <v>8</v>
      </c>
      <c r="H33" s="9">
        <f>8-questionnaire!H33</f>
        <v>8</v>
      </c>
      <c r="I33" s="9">
        <f>C33*10+D33*5+E33*1.66-(questionnaire!F33*1.66+questionnaire!G33*5+questionnaire!H33*10)</f>
        <v>0</v>
      </c>
    </row>
    <row r="34">
      <c r="A34" s="8" t="str">
        <f>questionnaire!A34</f>
        <v/>
      </c>
      <c r="B34" s="9" t="str">
        <f>questionnaire!B34</f>
        <v/>
      </c>
      <c r="C34" s="9" t="str">
        <f>questionnaire!C34</f>
        <v/>
      </c>
      <c r="D34" s="9" t="str">
        <f>questionnaire!D34</f>
        <v/>
      </c>
      <c r="E34" s="9" t="str">
        <f>questionnaire!E34</f>
        <v/>
      </c>
      <c r="F34" s="9">
        <f>8-questionnaire!F34</f>
        <v>8</v>
      </c>
      <c r="G34" s="9">
        <f>8-questionnaire!G34</f>
        <v>8</v>
      </c>
      <c r="H34" s="9">
        <f>8-questionnaire!H34</f>
        <v>8</v>
      </c>
      <c r="I34" s="9">
        <f>C34*10+D34*5+E34*1.66-(questionnaire!F34*1.66+questionnaire!G34*5+questionnaire!H34*10)</f>
        <v>0</v>
      </c>
    </row>
    <row r="35">
      <c r="A35" s="8" t="str">
        <f>questionnaire!A35</f>
        <v/>
      </c>
      <c r="B35" s="9" t="str">
        <f>questionnaire!B35</f>
        <v/>
      </c>
      <c r="C35" s="9" t="str">
        <f>questionnaire!C35</f>
        <v/>
      </c>
      <c r="D35" s="9" t="str">
        <f>questionnaire!D35</f>
        <v/>
      </c>
      <c r="E35" s="9" t="str">
        <f>questionnaire!E35</f>
        <v/>
      </c>
      <c r="F35" s="9">
        <f>8-questionnaire!F35</f>
        <v>8</v>
      </c>
      <c r="G35" s="9">
        <f>8-questionnaire!G35</f>
        <v>8</v>
      </c>
      <c r="H35" s="9">
        <f>8-questionnaire!H35</f>
        <v>8</v>
      </c>
      <c r="I35" s="9">
        <f>C35*10+D35*5+E35*1.66-(questionnaire!F35*1.66+questionnaire!G35*5+questionnaire!H35*10)</f>
        <v>0</v>
      </c>
    </row>
    <row r="36">
      <c r="A36" s="8" t="str">
        <f>questionnaire!A36</f>
        <v/>
      </c>
      <c r="B36" s="9" t="str">
        <f>questionnaire!B36</f>
        <v/>
      </c>
      <c r="C36" s="9" t="str">
        <f>questionnaire!C36</f>
        <v/>
      </c>
      <c r="D36" s="9" t="str">
        <f>questionnaire!D36</f>
        <v/>
      </c>
      <c r="E36" s="9" t="str">
        <f>questionnaire!E36</f>
        <v/>
      </c>
      <c r="F36" s="9">
        <f>8-questionnaire!F36</f>
        <v>8</v>
      </c>
      <c r="G36" s="9">
        <f>8-questionnaire!G36</f>
        <v>8</v>
      </c>
      <c r="H36" s="9">
        <f>8-questionnaire!H36</f>
        <v>8</v>
      </c>
      <c r="I36" s="9">
        <f>C36*10+D36*5+E36*1.66-(questionnaire!F36*1.66+questionnaire!G36*5+questionnaire!H36*10)</f>
        <v>0</v>
      </c>
    </row>
    <row r="37">
      <c r="A37" s="8" t="str">
        <f>questionnaire!A37</f>
        <v/>
      </c>
      <c r="B37" s="9" t="str">
        <f>questionnaire!B37</f>
        <v/>
      </c>
      <c r="C37" s="9" t="str">
        <f>questionnaire!C37</f>
        <v/>
      </c>
      <c r="D37" s="9" t="str">
        <f>questionnaire!D37</f>
        <v/>
      </c>
      <c r="E37" s="9" t="str">
        <f>questionnaire!E37</f>
        <v/>
      </c>
      <c r="F37" s="9">
        <f>8-questionnaire!F37</f>
        <v>8</v>
      </c>
      <c r="G37" s="9">
        <f>8-questionnaire!G37</f>
        <v>8</v>
      </c>
      <c r="H37" s="9">
        <f>8-questionnaire!H37</f>
        <v>8</v>
      </c>
      <c r="I37" s="9">
        <f>C37*10+D37*5+E37*1.66-(questionnaire!F37*1.66+questionnaire!G37*5+questionnaire!H37*10)</f>
        <v>0</v>
      </c>
    </row>
    <row r="38">
      <c r="A38" s="8" t="str">
        <f>questionnaire!A38</f>
        <v/>
      </c>
      <c r="B38" s="9" t="str">
        <f>questionnaire!B38</f>
        <v/>
      </c>
      <c r="C38" s="9" t="str">
        <f>questionnaire!C38</f>
        <v/>
      </c>
      <c r="D38" s="9" t="str">
        <f>questionnaire!D38</f>
        <v/>
      </c>
      <c r="E38" s="9" t="str">
        <f>questionnaire!E38</f>
        <v/>
      </c>
      <c r="F38" s="9">
        <f>8-questionnaire!F38</f>
        <v>8</v>
      </c>
      <c r="G38" s="9">
        <f>8-questionnaire!G38</f>
        <v>8</v>
      </c>
      <c r="H38" s="9">
        <f>8-questionnaire!H38</f>
        <v>8</v>
      </c>
      <c r="I38" s="9">
        <f>C38*10+D38*5+E38*1.66-(questionnaire!F38*1.66+questionnaire!G38*5+questionnaire!H38*10)</f>
        <v>0</v>
      </c>
    </row>
    <row r="39">
      <c r="A39" s="8" t="str">
        <f>questionnaire!A39</f>
        <v/>
      </c>
      <c r="B39" s="9" t="str">
        <f>questionnaire!B39</f>
        <v/>
      </c>
      <c r="C39" s="9" t="str">
        <f>questionnaire!C39</f>
        <v/>
      </c>
      <c r="D39" s="9" t="str">
        <f>questionnaire!D39</f>
        <v/>
      </c>
      <c r="E39" s="9" t="str">
        <f>questionnaire!E39</f>
        <v/>
      </c>
      <c r="F39" s="9">
        <f>8-questionnaire!F39</f>
        <v>8</v>
      </c>
      <c r="G39" s="9">
        <f>8-questionnaire!G39</f>
        <v>8</v>
      </c>
      <c r="H39" s="9">
        <f>8-questionnaire!H39</f>
        <v>8</v>
      </c>
      <c r="I39" s="9">
        <f>C39*10+D39*5+E39*1.66-(questionnaire!F39*1.66+questionnaire!G39*5+questionnaire!H39*10)</f>
        <v>0</v>
      </c>
    </row>
    <row r="40">
      <c r="A40" s="8" t="str">
        <f>questionnaire!A40</f>
        <v/>
      </c>
      <c r="B40" s="9" t="str">
        <f>questionnaire!B40</f>
        <v/>
      </c>
      <c r="C40" s="9" t="str">
        <f>questionnaire!C40</f>
        <v/>
      </c>
      <c r="D40" s="9" t="str">
        <f>questionnaire!D40</f>
        <v/>
      </c>
      <c r="E40" s="9" t="str">
        <f>questionnaire!E40</f>
        <v/>
      </c>
      <c r="F40" s="9">
        <f>8-questionnaire!F40</f>
        <v>8</v>
      </c>
      <c r="G40" s="9">
        <f>8-questionnaire!G40</f>
        <v>8</v>
      </c>
      <c r="H40" s="9">
        <f>8-questionnaire!H40</f>
        <v>8</v>
      </c>
      <c r="I40" s="9">
        <f>C40*10+D40*5+E40*1.66-(questionnaire!F40*1.66+questionnaire!G40*5+questionnaire!H40*10)</f>
        <v>0</v>
      </c>
    </row>
    <row r="41">
      <c r="A41" s="8" t="str">
        <f>questionnaire!A41</f>
        <v/>
      </c>
      <c r="B41" s="9" t="str">
        <f>questionnaire!B41</f>
        <v/>
      </c>
      <c r="C41" s="9" t="str">
        <f>questionnaire!C41</f>
        <v/>
      </c>
      <c r="D41" s="9" t="str">
        <f>questionnaire!D41</f>
        <v/>
      </c>
      <c r="E41" s="9" t="str">
        <f>questionnaire!E41</f>
        <v/>
      </c>
      <c r="F41" s="9">
        <f>8-questionnaire!F41</f>
        <v>8</v>
      </c>
      <c r="G41" s="9">
        <f>8-questionnaire!G41</f>
        <v>8</v>
      </c>
      <c r="H41" s="9">
        <f>8-questionnaire!H41</f>
        <v>8</v>
      </c>
      <c r="I41" s="9">
        <f>C41*10+D41*5+E41*1.66-(questionnaire!F41*1.66+questionnaire!G41*5+questionnaire!H41*10)</f>
        <v>0</v>
      </c>
    </row>
    <row r="42">
      <c r="A42" s="8" t="str">
        <f>questionnaire!A42</f>
        <v/>
      </c>
      <c r="B42" s="9" t="str">
        <f>questionnaire!B42</f>
        <v/>
      </c>
      <c r="C42" s="9" t="str">
        <f>questionnaire!C42</f>
        <v/>
      </c>
      <c r="D42" s="9" t="str">
        <f>questionnaire!D42</f>
        <v/>
      </c>
      <c r="E42" s="9" t="str">
        <f>questionnaire!E42</f>
        <v/>
      </c>
      <c r="F42" s="9">
        <f>8-questionnaire!F42</f>
        <v>8</v>
      </c>
      <c r="G42" s="9">
        <f>8-questionnaire!G42</f>
        <v>8</v>
      </c>
      <c r="H42" s="9">
        <f>8-questionnaire!H42</f>
        <v>8</v>
      </c>
      <c r="I42" s="9">
        <f>C42*10+D42*5+E42*1.66-(questionnaire!F42*1.66+questionnaire!G42*5+questionnaire!H42*10)</f>
        <v>0</v>
      </c>
    </row>
    <row r="43">
      <c r="A43" s="8" t="str">
        <f>questionnaire!A43</f>
        <v/>
      </c>
      <c r="B43" s="9" t="str">
        <f>questionnaire!B43</f>
        <v/>
      </c>
      <c r="C43" s="9" t="str">
        <f>questionnaire!C43</f>
        <v/>
      </c>
      <c r="D43" s="9" t="str">
        <f>questionnaire!D43</f>
        <v/>
      </c>
      <c r="E43" s="9" t="str">
        <f>questionnaire!E43</f>
        <v/>
      </c>
      <c r="F43" s="9">
        <f>8-questionnaire!F43</f>
        <v>8</v>
      </c>
      <c r="G43" s="9">
        <f>8-questionnaire!G43</f>
        <v>8</v>
      </c>
      <c r="H43" s="9">
        <f>8-questionnaire!H43</f>
        <v>8</v>
      </c>
      <c r="I43" s="9">
        <f>C43*10+D43*5+E43*1.66-(questionnaire!F43*1.66+questionnaire!G43*5+questionnaire!H43*10)</f>
        <v>0</v>
      </c>
    </row>
    <row r="44">
      <c r="A44" s="8" t="str">
        <f>questionnaire!A44</f>
        <v/>
      </c>
      <c r="B44" s="9" t="str">
        <f>questionnaire!B44</f>
        <v/>
      </c>
      <c r="C44" s="9" t="str">
        <f>questionnaire!C44</f>
        <v/>
      </c>
      <c r="D44" s="9" t="str">
        <f>questionnaire!D44</f>
        <v/>
      </c>
      <c r="E44" s="9" t="str">
        <f>questionnaire!E44</f>
        <v/>
      </c>
      <c r="F44" s="9">
        <f>8-questionnaire!F44</f>
        <v>8</v>
      </c>
      <c r="G44" s="9">
        <f>8-questionnaire!G44</f>
        <v>8</v>
      </c>
      <c r="H44" s="9">
        <f>8-questionnaire!H44</f>
        <v>8</v>
      </c>
      <c r="I44" s="9">
        <f>C44*10+D44*5+E44*1.66-(questionnaire!F44*1.66+questionnaire!G44*5+questionnaire!H44*10)</f>
        <v>0</v>
      </c>
    </row>
    <row r="45">
      <c r="A45" s="8" t="str">
        <f>questionnaire!A45</f>
        <v/>
      </c>
      <c r="B45" s="9" t="str">
        <f>questionnaire!B45</f>
        <v/>
      </c>
      <c r="C45" s="9" t="str">
        <f>questionnaire!C45</f>
        <v/>
      </c>
      <c r="D45" s="9" t="str">
        <f>questionnaire!D45</f>
        <v/>
      </c>
      <c r="E45" s="9" t="str">
        <f>questionnaire!E45</f>
        <v/>
      </c>
      <c r="F45" s="9">
        <f>8-questionnaire!F45</f>
        <v>8</v>
      </c>
      <c r="G45" s="9">
        <f>8-questionnaire!G45</f>
        <v>8</v>
      </c>
      <c r="H45" s="9">
        <f>8-questionnaire!H45</f>
        <v>8</v>
      </c>
      <c r="I45" s="9">
        <f>C45*10+D45*5+E45*1.66-(questionnaire!F45*1.66+questionnaire!G45*5+questionnaire!H45*10)</f>
        <v>0</v>
      </c>
    </row>
    <row r="46">
      <c r="A46" s="8" t="str">
        <f>questionnaire!A46</f>
        <v/>
      </c>
      <c r="B46" s="9" t="str">
        <f>questionnaire!B46</f>
        <v/>
      </c>
      <c r="C46" s="9" t="str">
        <f>questionnaire!C46</f>
        <v/>
      </c>
      <c r="D46" s="9" t="str">
        <f>questionnaire!D46</f>
        <v/>
      </c>
      <c r="E46" s="9" t="str">
        <f>questionnaire!E46</f>
        <v/>
      </c>
      <c r="F46" s="9">
        <f>8-questionnaire!F46</f>
        <v>8</v>
      </c>
      <c r="G46" s="9">
        <f>8-questionnaire!G46</f>
        <v>8</v>
      </c>
      <c r="H46" s="9">
        <f>8-questionnaire!H46</f>
        <v>8</v>
      </c>
      <c r="I46" s="9">
        <f>C46*10+D46*5+E46*1.66-(questionnaire!F46*1.66+questionnaire!G46*5+questionnaire!H46*10)</f>
        <v>0</v>
      </c>
    </row>
    <row r="47">
      <c r="A47" s="8" t="str">
        <f>questionnaire!A47</f>
        <v/>
      </c>
      <c r="B47" s="9" t="str">
        <f>questionnaire!B47</f>
        <v/>
      </c>
      <c r="C47" s="9" t="str">
        <f>questionnaire!C47</f>
        <v/>
      </c>
      <c r="D47" s="9" t="str">
        <f>questionnaire!D47</f>
        <v/>
      </c>
      <c r="E47" s="9" t="str">
        <f>questionnaire!E47</f>
        <v/>
      </c>
      <c r="F47" s="9">
        <f>8-questionnaire!F47</f>
        <v>8</v>
      </c>
      <c r="G47" s="9">
        <f>8-questionnaire!G47</f>
        <v>8</v>
      </c>
      <c r="H47" s="9">
        <f>8-questionnaire!H47</f>
        <v>8</v>
      </c>
      <c r="I47" s="9">
        <f>C47*10+D47*5+E47*1.66-(questionnaire!F47*1.66+questionnaire!G47*5+questionnaire!H47*10)</f>
        <v>0</v>
      </c>
    </row>
    <row r="48">
      <c r="A48" s="8" t="str">
        <f>questionnaire!A48</f>
        <v/>
      </c>
      <c r="B48" s="9" t="str">
        <f>questionnaire!B48</f>
        <v/>
      </c>
      <c r="C48" s="9" t="str">
        <f>questionnaire!C48</f>
        <v/>
      </c>
      <c r="D48" s="9" t="str">
        <f>questionnaire!D48</f>
        <v/>
      </c>
      <c r="E48" s="9" t="str">
        <f>questionnaire!E48</f>
        <v/>
      </c>
      <c r="F48" s="9">
        <f>8-questionnaire!F48</f>
        <v>8</v>
      </c>
      <c r="G48" s="9">
        <f>8-questionnaire!G48</f>
        <v>8</v>
      </c>
      <c r="H48" s="9">
        <f>8-questionnaire!H48</f>
        <v>8</v>
      </c>
      <c r="I48" s="9">
        <f>C48*10+D48*5+E48*1.66-(questionnaire!F48*1.66+questionnaire!G48*5+questionnaire!H48*10)</f>
        <v>0</v>
      </c>
    </row>
    <row r="49">
      <c r="A49" s="8" t="str">
        <f>questionnaire!A49</f>
        <v/>
      </c>
      <c r="B49" s="9" t="str">
        <f>questionnaire!B49</f>
        <v/>
      </c>
      <c r="C49" s="9" t="str">
        <f>questionnaire!C49</f>
        <v/>
      </c>
      <c r="D49" s="9" t="str">
        <f>questionnaire!D49</f>
        <v/>
      </c>
      <c r="E49" s="9" t="str">
        <f>questionnaire!E49</f>
        <v/>
      </c>
      <c r="F49" s="9">
        <f>8-questionnaire!F49</f>
        <v>8</v>
      </c>
      <c r="G49" s="9">
        <f>8-questionnaire!G49</f>
        <v>8</v>
      </c>
      <c r="H49" s="9">
        <f>8-questionnaire!H49</f>
        <v>8</v>
      </c>
      <c r="I49" s="9">
        <f>C49*10+D49*5+E49*1.66-(questionnaire!F49*1.66+questionnaire!G49*5+questionnaire!H49*10)</f>
        <v>0</v>
      </c>
    </row>
    <row r="50">
      <c r="A50" s="8" t="str">
        <f>questionnaire!A50</f>
        <v/>
      </c>
      <c r="B50" s="9" t="str">
        <f>questionnaire!B50</f>
        <v/>
      </c>
      <c r="C50" s="9" t="str">
        <f>questionnaire!C50</f>
        <v/>
      </c>
      <c r="D50" s="9" t="str">
        <f>questionnaire!D50</f>
        <v/>
      </c>
      <c r="E50" s="9" t="str">
        <f>questionnaire!E50</f>
        <v/>
      </c>
      <c r="F50" s="9">
        <f>8-questionnaire!F50</f>
        <v>8</v>
      </c>
      <c r="G50" s="9">
        <f>8-questionnaire!G50</f>
        <v>8</v>
      </c>
      <c r="H50" s="9">
        <f>8-questionnaire!H50</f>
        <v>8</v>
      </c>
      <c r="I50" s="9">
        <f>C50*10+D50*5+E50*1.66-(questionnaire!F50*1.66+questionnaire!G50*5+questionnaire!H50*10)</f>
        <v>0</v>
      </c>
    </row>
    <row r="51">
      <c r="A51" s="8" t="str">
        <f>questionnaire!A51</f>
        <v/>
      </c>
      <c r="B51" s="9" t="str">
        <f>questionnaire!B51</f>
        <v/>
      </c>
      <c r="C51" s="9" t="str">
        <f>questionnaire!C51</f>
        <v/>
      </c>
      <c r="D51" s="9" t="str">
        <f>questionnaire!D51</f>
        <v/>
      </c>
      <c r="E51" s="9" t="str">
        <f>questionnaire!E51</f>
        <v/>
      </c>
      <c r="F51" s="9">
        <f>8-questionnaire!F51</f>
        <v>8</v>
      </c>
      <c r="G51" s="9">
        <f>8-questionnaire!G51</f>
        <v>8</v>
      </c>
      <c r="H51" s="9">
        <f>8-questionnaire!H51</f>
        <v>8</v>
      </c>
      <c r="I51" s="9">
        <f>C51*10+D51*5+E51*1.66-(questionnaire!F51*1.66+questionnaire!G51*5+questionnaire!H51*10)</f>
        <v>0</v>
      </c>
    </row>
    <row r="52">
      <c r="A52" s="8" t="str">
        <f>questionnaire!A52</f>
        <v/>
      </c>
      <c r="B52" s="9" t="str">
        <f>questionnaire!B52</f>
        <v/>
      </c>
      <c r="C52" s="9" t="str">
        <f>questionnaire!C52</f>
        <v/>
      </c>
      <c r="D52" s="9" t="str">
        <f>questionnaire!D52</f>
        <v/>
      </c>
      <c r="E52" s="9" t="str">
        <f>questionnaire!E52</f>
        <v/>
      </c>
      <c r="F52" s="9">
        <f>8-questionnaire!F52</f>
        <v>8</v>
      </c>
      <c r="G52" s="9">
        <f>8-questionnaire!G52</f>
        <v>8</v>
      </c>
      <c r="H52" s="9">
        <f>8-questionnaire!H52</f>
        <v>8</v>
      </c>
      <c r="I52" s="9">
        <f>C52*10+D52*5+E52*1.66-(questionnaire!F52*1.66+questionnaire!G52*5+questionnaire!H52*10)</f>
        <v>0</v>
      </c>
    </row>
    <row r="53">
      <c r="A53" s="8" t="str">
        <f>questionnaire!A53</f>
        <v/>
      </c>
      <c r="B53" s="9" t="str">
        <f>questionnaire!B53</f>
        <v/>
      </c>
      <c r="C53" s="9" t="str">
        <f>questionnaire!C53</f>
        <v/>
      </c>
      <c r="D53" s="9" t="str">
        <f>questionnaire!D53</f>
        <v/>
      </c>
      <c r="E53" s="9" t="str">
        <f>questionnaire!E53</f>
        <v/>
      </c>
      <c r="F53" s="9">
        <f>8-questionnaire!F53</f>
        <v>8</v>
      </c>
      <c r="G53" s="9">
        <f>8-questionnaire!G53</f>
        <v>8</v>
      </c>
      <c r="H53" s="9">
        <f>8-questionnaire!H53</f>
        <v>8</v>
      </c>
      <c r="I53" s="9">
        <f>C53*10+D53*5+E53*1.66-(questionnaire!F53*1.66+questionnaire!G53*5+questionnaire!H53*10)</f>
        <v>0</v>
      </c>
    </row>
    <row r="54">
      <c r="A54" s="8" t="str">
        <f>questionnaire!A54</f>
        <v/>
      </c>
      <c r="B54" s="9" t="str">
        <f>questionnaire!B54</f>
        <v/>
      </c>
      <c r="C54" s="9" t="str">
        <f>questionnaire!C54</f>
        <v/>
      </c>
      <c r="D54" s="9" t="str">
        <f>questionnaire!D54</f>
        <v/>
      </c>
      <c r="E54" s="9" t="str">
        <f>questionnaire!E54</f>
        <v/>
      </c>
      <c r="F54" s="9">
        <f>8-questionnaire!F54</f>
        <v>8</v>
      </c>
      <c r="G54" s="9">
        <f>8-questionnaire!G54</f>
        <v>8</v>
      </c>
      <c r="H54" s="9">
        <f>8-questionnaire!H54</f>
        <v>8</v>
      </c>
      <c r="I54" s="9">
        <f>C54*10+D54*5+E54*1.66-(questionnaire!F54*1.66+questionnaire!G54*5+questionnaire!H54*10)</f>
        <v>0</v>
      </c>
    </row>
    <row r="55">
      <c r="A55" s="8" t="str">
        <f>questionnaire!A55</f>
        <v/>
      </c>
      <c r="B55" s="9" t="str">
        <f>questionnaire!B55</f>
        <v/>
      </c>
      <c r="C55" s="9" t="str">
        <f>questionnaire!C55</f>
        <v/>
      </c>
      <c r="D55" s="9" t="str">
        <f>questionnaire!D55</f>
        <v/>
      </c>
      <c r="E55" s="9" t="str">
        <f>questionnaire!E55</f>
        <v/>
      </c>
      <c r="F55" s="9">
        <f>8-questionnaire!F55</f>
        <v>8</v>
      </c>
      <c r="G55" s="9">
        <f>8-questionnaire!G55</f>
        <v>8</v>
      </c>
      <c r="H55" s="9">
        <f>8-questionnaire!H55</f>
        <v>8</v>
      </c>
      <c r="I55" s="9">
        <f>C55*10+D55*5+E55*1.66-(questionnaire!F55*1.66+questionnaire!G55*5+questionnaire!H55*10)</f>
        <v>0</v>
      </c>
    </row>
    <row r="56">
      <c r="A56" s="8" t="str">
        <f>questionnaire!A56</f>
        <v/>
      </c>
      <c r="B56" s="9" t="str">
        <f>questionnaire!B56</f>
        <v/>
      </c>
      <c r="C56" s="9" t="str">
        <f>questionnaire!C56</f>
        <v/>
      </c>
      <c r="D56" s="9" t="str">
        <f>questionnaire!D56</f>
        <v/>
      </c>
      <c r="E56" s="9" t="str">
        <f>questionnaire!E56</f>
        <v/>
      </c>
      <c r="F56" s="9">
        <f>8-questionnaire!F56</f>
        <v>8</v>
      </c>
      <c r="G56" s="9">
        <f>8-questionnaire!G56</f>
        <v>8</v>
      </c>
      <c r="H56" s="9">
        <f>8-questionnaire!H56</f>
        <v>8</v>
      </c>
      <c r="I56" s="9">
        <f>C56*10+D56*5+E56*1.66-(questionnaire!F56*1.66+questionnaire!G56*5+questionnaire!H56*10)</f>
        <v>0</v>
      </c>
    </row>
    <row r="57">
      <c r="A57" s="8" t="str">
        <f>questionnaire!A57</f>
        <v/>
      </c>
      <c r="B57" s="9" t="str">
        <f>questionnaire!B57</f>
        <v/>
      </c>
      <c r="C57" s="9" t="str">
        <f>questionnaire!C57</f>
        <v/>
      </c>
      <c r="D57" s="9" t="str">
        <f>questionnaire!D57</f>
        <v/>
      </c>
      <c r="E57" s="9" t="str">
        <f>questionnaire!E57</f>
        <v/>
      </c>
      <c r="F57" s="9">
        <f>8-questionnaire!F57</f>
        <v>8</v>
      </c>
      <c r="G57" s="9">
        <f>8-questionnaire!G57</f>
        <v>8</v>
      </c>
      <c r="H57" s="9">
        <f>8-questionnaire!H57</f>
        <v>8</v>
      </c>
      <c r="I57" s="9">
        <f>C57*10+D57*5+E57*1.66-(questionnaire!F57*1.66+questionnaire!G57*5+questionnaire!H57*10)</f>
        <v>0</v>
      </c>
    </row>
    <row r="58">
      <c r="A58" s="8" t="str">
        <f>questionnaire!A58</f>
        <v/>
      </c>
      <c r="B58" s="9" t="str">
        <f>questionnaire!B58</f>
        <v/>
      </c>
      <c r="C58" s="9" t="str">
        <f>questionnaire!C58</f>
        <v/>
      </c>
      <c r="D58" s="9" t="str">
        <f>questionnaire!D58</f>
        <v/>
      </c>
      <c r="E58" s="9" t="str">
        <f>questionnaire!E58</f>
        <v/>
      </c>
      <c r="F58" s="9">
        <f>8-questionnaire!F58</f>
        <v>8</v>
      </c>
      <c r="G58" s="9">
        <f>8-questionnaire!G58</f>
        <v>8</v>
      </c>
      <c r="H58" s="9">
        <f>8-questionnaire!H58</f>
        <v>8</v>
      </c>
      <c r="I58" s="9">
        <f>C58*10+D58*5+E58*1.66-(questionnaire!F58*1.66+questionnaire!G58*5+questionnaire!H58*10)</f>
        <v>0</v>
      </c>
    </row>
    <row r="59">
      <c r="A59" s="8" t="str">
        <f>questionnaire!A59</f>
        <v/>
      </c>
      <c r="B59" s="9" t="str">
        <f>questionnaire!B59</f>
        <v/>
      </c>
      <c r="C59" s="9" t="str">
        <f>questionnaire!C59</f>
        <v/>
      </c>
      <c r="D59" s="9" t="str">
        <f>questionnaire!D59</f>
        <v/>
      </c>
      <c r="E59" s="9" t="str">
        <f>questionnaire!E59</f>
        <v/>
      </c>
      <c r="F59" s="9">
        <f>8-questionnaire!F59</f>
        <v>8</v>
      </c>
      <c r="G59" s="9">
        <f>8-questionnaire!G59</f>
        <v>8</v>
      </c>
      <c r="H59" s="9">
        <f>8-questionnaire!H59</f>
        <v>8</v>
      </c>
      <c r="I59" s="9">
        <f>C59*10+D59*5+E59*1.66-(questionnaire!F59*1.66+questionnaire!G59*5+questionnaire!H59*10)</f>
        <v>0</v>
      </c>
    </row>
    <row r="60">
      <c r="A60" s="8" t="str">
        <f>questionnaire!A60</f>
        <v/>
      </c>
      <c r="B60" s="9" t="str">
        <f>questionnaire!B60</f>
        <v/>
      </c>
      <c r="C60" s="9" t="str">
        <f>questionnaire!C60</f>
        <v/>
      </c>
      <c r="D60" s="9" t="str">
        <f>questionnaire!D60</f>
        <v/>
      </c>
      <c r="E60" s="9" t="str">
        <f>questionnaire!E60</f>
        <v/>
      </c>
      <c r="F60" s="9">
        <f>8-questionnaire!F60</f>
        <v>8</v>
      </c>
      <c r="G60" s="9">
        <f>8-questionnaire!G60</f>
        <v>8</v>
      </c>
      <c r="H60" s="9">
        <f>8-questionnaire!H60</f>
        <v>8</v>
      </c>
      <c r="I60" s="9">
        <f>C60*10+D60*5+E60*1.66-(questionnaire!F60*1.66+questionnaire!G60*5+questionnaire!H60*10)</f>
        <v>0</v>
      </c>
    </row>
    <row r="61">
      <c r="A61" s="8" t="str">
        <f>questionnaire!A61</f>
        <v/>
      </c>
      <c r="B61" s="9" t="str">
        <f>questionnaire!B61</f>
        <v/>
      </c>
      <c r="C61" s="9" t="str">
        <f>questionnaire!C61</f>
        <v/>
      </c>
      <c r="D61" s="9" t="str">
        <f>questionnaire!D61</f>
        <v/>
      </c>
      <c r="E61" s="9" t="str">
        <f>questionnaire!E61</f>
        <v/>
      </c>
      <c r="F61" s="9">
        <f>8-questionnaire!F61</f>
        <v>8</v>
      </c>
      <c r="G61" s="9">
        <f>8-questionnaire!G61</f>
        <v>8</v>
      </c>
      <c r="H61" s="9">
        <f>8-questionnaire!H61</f>
        <v>8</v>
      </c>
      <c r="I61" s="9">
        <f>C61*10+D61*5+E61*1.66-(questionnaire!F61*1.66+questionnaire!G61*5+questionnaire!H61*10)</f>
        <v>0</v>
      </c>
    </row>
    <row r="62">
      <c r="A62" s="8" t="str">
        <f>questionnaire!A62</f>
        <v/>
      </c>
      <c r="B62" s="9" t="str">
        <f>questionnaire!B62</f>
        <v/>
      </c>
      <c r="C62" s="9" t="str">
        <f>questionnaire!C62</f>
        <v/>
      </c>
      <c r="D62" s="9" t="str">
        <f>questionnaire!D62</f>
        <v/>
      </c>
      <c r="E62" s="9" t="str">
        <f>questionnaire!E62</f>
        <v/>
      </c>
      <c r="F62" s="9">
        <f>8-questionnaire!F62</f>
        <v>8</v>
      </c>
      <c r="G62" s="9">
        <f>8-questionnaire!G62</f>
        <v>8</v>
      </c>
      <c r="H62" s="9">
        <f>8-questionnaire!H62</f>
        <v>8</v>
      </c>
      <c r="I62" s="9">
        <f>C62*10+D62*5+E62*1.66-(questionnaire!F62*1.66+questionnaire!G62*5+questionnaire!H62*10)</f>
        <v>0</v>
      </c>
    </row>
    <row r="63">
      <c r="A63" s="8" t="str">
        <f>questionnaire!A63</f>
        <v/>
      </c>
      <c r="B63" s="9" t="str">
        <f>questionnaire!B63</f>
        <v/>
      </c>
      <c r="C63" s="9" t="str">
        <f>questionnaire!C63</f>
        <v/>
      </c>
      <c r="D63" s="9" t="str">
        <f>questionnaire!D63</f>
        <v/>
      </c>
      <c r="E63" s="9" t="str">
        <f>questionnaire!E63</f>
        <v/>
      </c>
      <c r="F63" s="9">
        <f>8-questionnaire!F63</f>
        <v>8</v>
      </c>
      <c r="G63" s="9">
        <f>8-questionnaire!G63</f>
        <v>8</v>
      </c>
      <c r="H63" s="9">
        <f>8-questionnaire!H63</f>
        <v>8</v>
      </c>
      <c r="I63" s="9">
        <f>C63*10+D63*5+E63*1.66-(questionnaire!F63*1.66+questionnaire!G63*5+questionnaire!H63*10)</f>
        <v>0</v>
      </c>
    </row>
    <row r="64">
      <c r="A64" s="8" t="str">
        <f>questionnaire!A64</f>
        <v/>
      </c>
      <c r="B64" s="9" t="str">
        <f>questionnaire!B64</f>
        <v/>
      </c>
      <c r="C64" s="9" t="str">
        <f>questionnaire!C64</f>
        <v/>
      </c>
      <c r="D64" s="9" t="str">
        <f>questionnaire!D64</f>
        <v/>
      </c>
      <c r="E64" s="9" t="str">
        <f>questionnaire!E64</f>
        <v/>
      </c>
      <c r="F64" s="9">
        <f>8-questionnaire!F64</f>
        <v>8</v>
      </c>
      <c r="G64" s="9">
        <f>8-questionnaire!G64</f>
        <v>8</v>
      </c>
      <c r="H64" s="9">
        <f>8-questionnaire!H64</f>
        <v>8</v>
      </c>
      <c r="I64" s="9">
        <f>C64*10+D64*5+E64*1.66-(questionnaire!F64*1.66+questionnaire!G64*5+questionnaire!H64*10)</f>
        <v>0</v>
      </c>
    </row>
    <row r="65">
      <c r="A65" s="8" t="str">
        <f>questionnaire!A65</f>
        <v/>
      </c>
      <c r="B65" s="9" t="str">
        <f>questionnaire!B65</f>
        <v/>
      </c>
      <c r="C65" s="9" t="str">
        <f>questionnaire!C65</f>
        <v/>
      </c>
      <c r="D65" s="9" t="str">
        <f>questionnaire!D65</f>
        <v/>
      </c>
      <c r="E65" s="9" t="str">
        <f>questionnaire!E65</f>
        <v/>
      </c>
      <c r="F65" s="9">
        <f>8-questionnaire!F65</f>
        <v>8</v>
      </c>
      <c r="G65" s="9">
        <f>8-questionnaire!G65</f>
        <v>8</v>
      </c>
      <c r="H65" s="9">
        <f>8-questionnaire!H65</f>
        <v>8</v>
      </c>
      <c r="I65" s="9">
        <f>C65*10+D65*5+E65*1.66-(questionnaire!F65*1.66+questionnaire!G65*5+questionnaire!H65*10)</f>
        <v>0</v>
      </c>
    </row>
    <row r="66">
      <c r="A66" s="8" t="str">
        <f>questionnaire!A66</f>
        <v/>
      </c>
      <c r="B66" s="9" t="str">
        <f>questionnaire!B66</f>
        <v/>
      </c>
      <c r="C66" s="9" t="str">
        <f>questionnaire!C66</f>
        <v/>
      </c>
      <c r="D66" s="9" t="str">
        <f>questionnaire!D66</f>
        <v/>
      </c>
      <c r="E66" s="9" t="str">
        <f>questionnaire!E66</f>
        <v/>
      </c>
      <c r="F66" s="9">
        <f>8-questionnaire!F66</f>
        <v>8</v>
      </c>
      <c r="G66" s="9">
        <f>8-questionnaire!G66</f>
        <v>8</v>
      </c>
      <c r="H66" s="9">
        <f>8-questionnaire!H66</f>
        <v>8</v>
      </c>
      <c r="I66" s="9">
        <f>C66*10+D66*5+E66*1.66-(questionnaire!F66*1.66+questionnaire!G66*5+questionnaire!H66*10)</f>
        <v>0</v>
      </c>
    </row>
    <row r="67">
      <c r="A67" s="8" t="str">
        <f>questionnaire!A67</f>
        <v/>
      </c>
      <c r="B67" s="9" t="str">
        <f>questionnaire!B67</f>
        <v/>
      </c>
      <c r="C67" s="9" t="str">
        <f>questionnaire!C67</f>
        <v/>
      </c>
      <c r="D67" s="9" t="str">
        <f>questionnaire!D67</f>
        <v/>
      </c>
      <c r="E67" s="9" t="str">
        <f>questionnaire!E67</f>
        <v/>
      </c>
      <c r="F67" s="9">
        <f>8-questionnaire!F67</f>
        <v>8</v>
      </c>
      <c r="G67" s="9">
        <f>8-questionnaire!G67</f>
        <v>8</v>
      </c>
      <c r="H67" s="9">
        <f>8-questionnaire!H67</f>
        <v>8</v>
      </c>
      <c r="I67" s="9">
        <f>C67*10+D67*5+E67*1.66-(questionnaire!F67*1.66+questionnaire!G67*5+questionnaire!H67*10)</f>
        <v>0</v>
      </c>
    </row>
    <row r="68">
      <c r="A68" s="8" t="str">
        <f>questionnaire!A68</f>
        <v/>
      </c>
      <c r="B68" s="9" t="str">
        <f>questionnaire!B68</f>
        <v/>
      </c>
      <c r="C68" s="9" t="str">
        <f>questionnaire!C68</f>
        <v/>
      </c>
      <c r="D68" s="9" t="str">
        <f>questionnaire!D68</f>
        <v/>
      </c>
      <c r="E68" s="9" t="str">
        <f>questionnaire!E68</f>
        <v/>
      </c>
      <c r="F68" s="9">
        <f>8-questionnaire!F68</f>
        <v>8</v>
      </c>
      <c r="G68" s="9">
        <f>8-questionnaire!G68</f>
        <v>8</v>
      </c>
      <c r="H68" s="9">
        <f>8-questionnaire!H68</f>
        <v>8</v>
      </c>
      <c r="I68" s="9">
        <f>C68*10+D68*5+E68*1.66-(questionnaire!F68*1.66+questionnaire!G68*5+questionnaire!H68*10)</f>
        <v>0</v>
      </c>
    </row>
    <row r="69">
      <c r="A69" s="8" t="str">
        <f>questionnaire!A69</f>
        <v/>
      </c>
      <c r="B69" s="9" t="str">
        <f>questionnaire!B69</f>
        <v/>
      </c>
      <c r="C69" s="9" t="str">
        <f>questionnaire!C69</f>
        <v/>
      </c>
      <c r="D69" s="9" t="str">
        <f>questionnaire!D69</f>
        <v/>
      </c>
      <c r="E69" s="9" t="str">
        <f>questionnaire!E69</f>
        <v/>
      </c>
      <c r="F69" s="9">
        <f>8-questionnaire!F69</f>
        <v>8</v>
      </c>
      <c r="G69" s="9">
        <f>8-questionnaire!G69</f>
        <v>8</v>
      </c>
      <c r="H69" s="9">
        <f>8-questionnaire!H69</f>
        <v>8</v>
      </c>
      <c r="I69" s="9">
        <f>C69*10+D69*5+E69*1.66-(questionnaire!F69*1.66+questionnaire!G69*5+questionnaire!H69*10)</f>
        <v>0</v>
      </c>
    </row>
    <row r="70">
      <c r="A70" s="8" t="str">
        <f>questionnaire!A70</f>
        <v/>
      </c>
      <c r="B70" s="9" t="str">
        <f>questionnaire!B70</f>
        <v/>
      </c>
      <c r="C70" s="9" t="str">
        <f>questionnaire!C70</f>
        <v/>
      </c>
      <c r="D70" s="9" t="str">
        <f>questionnaire!D70</f>
        <v/>
      </c>
      <c r="E70" s="9" t="str">
        <f>questionnaire!E70</f>
        <v/>
      </c>
      <c r="F70" s="9">
        <f>8-questionnaire!F70</f>
        <v>8</v>
      </c>
      <c r="G70" s="9">
        <f>8-questionnaire!G70</f>
        <v>8</v>
      </c>
      <c r="H70" s="9">
        <f>8-questionnaire!H70</f>
        <v>8</v>
      </c>
      <c r="I70" s="9">
        <f>C70*10+D70*5+E70*1.66-(questionnaire!F70*1.66+questionnaire!G70*5+questionnaire!H70*10)</f>
        <v>0</v>
      </c>
    </row>
    <row r="71">
      <c r="A71" s="8" t="str">
        <f>questionnaire!A71</f>
        <v/>
      </c>
      <c r="B71" s="9" t="str">
        <f>questionnaire!B71</f>
        <v/>
      </c>
      <c r="C71" s="9" t="str">
        <f>questionnaire!C71</f>
        <v/>
      </c>
      <c r="D71" s="9" t="str">
        <f>questionnaire!D71</f>
        <v/>
      </c>
      <c r="E71" s="9" t="str">
        <f>questionnaire!E71</f>
        <v/>
      </c>
      <c r="F71" s="9">
        <f>8-questionnaire!F71</f>
        <v>8</v>
      </c>
      <c r="G71" s="9">
        <f>8-questionnaire!G71</f>
        <v>8</v>
      </c>
      <c r="H71" s="9">
        <f>8-questionnaire!H71</f>
        <v>8</v>
      </c>
      <c r="I71" s="9">
        <f>C71*10+D71*5+E71*1.66-(questionnaire!F71*1.66+questionnaire!G71*5+questionnaire!H71*10)</f>
        <v>0</v>
      </c>
    </row>
    <row r="72">
      <c r="A72" s="8" t="str">
        <f>questionnaire!A72</f>
        <v/>
      </c>
      <c r="B72" s="9" t="str">
        <f>questionnaire!B72</f>
        <v/>
      </c>
      <c r="C72" s="9" t="str">
        <f>questionnaire!C72</f>
        <v/>
      </c>
      <c r="D72" s="9" t="str">
        <f>questionnaire!D72</f>
        <v/>
      </c>
      <c r="E72" s="9" t="str">
        <f>questionnaire!E72</f>
        <v/>
      </c>
      <c r="F72" s="9">
        <f>8-questionnaire!F72</f>
        <v>8</v>
      </c>
      <c r="G72" s="9">
        <f>8-questionnaire!G72</f>
        <v>8</v>
      </c>
      <c r="H72" s="9">
        <f>8-questionnaire!H72</f>
        <v>8</v>
      </c>
      <c r="I72" s="9">
        <f>C72*10+D72*5+E72*1.66-(questionnaire!F72*1.66+questionnaire!G72*5+questionnaire!H72*10)</f>
        <v>0</v>
      </c>
    </row>
    <row r="73">
      <c r="A73" s="8" t="str">
        <f>questionnaire!A73</f>
        <v/>
      </c>
      <c r="B73" s="9" t="str">
        <f>questionnaire!B73</f>
        <v/>
      </c>
      <c r="C73" s="9" t="str">
        <f>questionnaire!C73</f>
        <v/>
      </c>
      <c r="D73" s="9" t="str">
        <f>questionnaire!D73</f>
        <v/>
      </c>
      <c r="E73" s="9" t="str">
        <f>questionnaire!E73</f>
        <v/>
      </c>
      <c r="F73" s="9">
        <f>8-questionnaire!F73</f>
        <v>8</v>
      </c>
      <c r="G73" s="9">
        <f>8-questionnaire!G73</f>
        <v>8</v>
      </c>
      <c r="H73" s="9">
        <f>8-questionnaire!H73</f>
        <v>8</v>
      </c>
      <c r="I73" s="9">
        <f>C73*10+D73*5+E73*1.66-(questionnaire!F73*1.66+questionnaire!G73*5+questionnaire!H73*10)</f>
        <v>0</v>
      </c>
    </row>
    <row r="74">
      <c r="A74" s="8" t="str">
        <f>questionnaire!A74</f>
        <v/>
      </c>
      <c r="B74" s="9" t="str">
        <f>questionnaire!B74</f>
        <v/>
      </c>
      <c r="C74" s="9" t="str">
        <f>questionnaire!C74</f>
        <v/>
      </c>
      <c r="D74" s="9" t="str">
        <f>questionnaire!D74</f>
        <v/>
      </c>
      <c r="E74" s="9" t="str">
        <f>questionnaire!E74</f>
        <v/>
      </c>
      <c r="F74" s="9">
        <f>8-questionnaire!F74</f>
        <v>8</v>
      </c>
      <c r="G74" s="9">
        <f>8-questionnaire!G74</f>
        <v>8</v>
      </c>
      <c r="H74" s="9">
        <f>8-questionnaire!H74</f>
        <v>8</v>
      </c>
      <c r="I74" s="9">
        <f>C74*10+D74*5+E74*1.66-(questionnaire!F74*1.66+questionnaire!G74*5+questionnaire!H74*10)</f>
        <v>0</v>
      </c>
    </row>
    <row r="75">
      <c r="A75" s="8" t="str">
        <f>questionnaire!A75</f>
        <v/>
      </c>
      <c r="B75" s="9" t="str">
        <f>questionnaire!B75</f>
        <v/>
      </c>
      <c r="C75" s="9" t="str">
        <f>questionnaire!C75</f>
        <v/>
      </c>
      <c r="D75" s="9" t="str">
        <f>questionnaire!D75</f>
        <v/>
      </c>
      <c r="E75" s="9" t="str">
        <f>questionnaire!E75</f>
        <v/>
      </c>
      <c r="F75" s="9">
        <f>8-questionnaire!F75</f>
        <v>8</v>
      </c>
      <c r="G75" s="9">
        <f>8-questionnaire!G75</f>
        <v>8</v>
      </c>
      <c r="H75" s="9">
        <f>8-questionnaire!H75</f>
        <v>8</v>
      </c>
      <c r="I75" s="9">
        <f>C75*10+D75*5+E75*1.66-(questionnaire!F75*1.66+questionnaire!G75*5+questionnaire!H75*10)</f>
        <v>0</v>
      </c>
    </row>
    <row r="76">
      <c r="A76" s="8" t="str">
        <f>questionnaire!A76</f>
        <v/>
      </c>
      <c r="B76" s="9" t="str">
        <f>questionnaire!B76</f>
        <v/>
      </c>
      <c r="C76" s="9" t="str">
        <f>questionnaire!C76</f>
        <v/>
      </c>
      <c r="D76" s="9" t="str">
        <f>questionnaire!D76</f>
        <v/>
      </c>
      <c r="E76" s="9" t="str">
        <f>questionnaire!E76</f>
        <v/>
      </c>
      <c r="F76" s="9">
        <f>8-questionnaire!F76</f>
        <v>8</v>
      </c>
      <c r="G76" s="9">
        <f>8-questionnaire!G76</f>
        <v>8</v>
      </c>
      <c r="H76" s="9">
        <f>8-questionnaire!H76</f>
        <v>8</v>
      </c>
      <c r="I76" s="9">
        <f>C76*10+D76*5+E76*1.66-(questionnaire!F76*1.66+questionnaire!G76*5+questionnaire!H76*10)</f>
        <v>0</v>
      </c>
    </row>
    <row r="77">
      <c r="A77" s="8" t="str">
        <f>questionnaire!A77</f>
        <v/>
      </c>
      <c r="B77" s="9" t="str">
        <f>questionnaire!B77</f>
        <v/>
      </c>
      <c r="C77" s="9" t="str">
        <f>questionnaire!C77</f>
        <v/>
      </c>
      <c r="D77" s="9" t="str">
        <f>questionnaire!D77</f>
        <v/>
      </c>
      <c r="E77" s="9" t="str">
        <f>questionnaire!E77</f>
        <v/>
      </c>
      <c r="F77" s="9">
        <f>8-questionnaire!F77</f>
        <v>8</v>
      </c>
      <c r="G77" s="9">
        <f>8-questionnaire!G77</f>
        <v>8</v>
      </c>
      <c r="H77" s="9">
        <f>8-questionnaire!H77</f>
        <v>8</v>
      </c>
      <c r="I77" s="9">
        <f>C77*10+D77*5+E77*1.66-(questionnaire!F77*1.66+questionnaire!G77*5+questionnaire!H77*10)</f>
        <v>0</v>
      </c>
    </row>
    <row r="78">
      <c r="A78" s="8" t="str">
        <f>questionnaire!A78</f>
        <v/>
      </c>
      <c r="B78" s="9" t="str">
        <f>questionnaire!B78</f>
        <v/>
      </c>
      <c r="C78" s="9" t="str">
        <f>questionnaire!C78</f>
        <v/>
      </c>
      <c r="D78" s="9" t="str">
        <f>questionnaire!D78</f>
        <v/>
      </c>
      <c r="E78" s="9" t="str">
        <f>questionnaire!E78</f>
        <v/>
      </c>
      <c r="F78" s="9">
        <f>8-questionnaire!F78</f>
        <v>8</v>
      </c>
      <c r="G78" s="9">
        <f>8-questionnaire!G78</f>
        <v>8</v>
      </c>
      <c r="H78" s="9">
        <f>8-questionnaire!H78</f>
        <v>8</v>
      </c>
      <c r="I78" s="9">
        <f>C78*10+D78*5+E78*1.66-(questionnaire!F78*1.66+questionnaire!G78*5+questionnaire!H78*10)</f>
        <v>0</v>
      </c>
    </row>
    <row r="79">
      <c r="A79" s="8" t="str">
        <f>questionnaire!A79</f>
        <v/>
      </c>
      <c r="B79" s="9" t="str">
        <f>questionnaire!B79</f>
        <v/>
      </c>
      <c r="C79" s="9" t="str">
        <f>questionnaire!C79</f>
        <v/>
      </c>
      <c r="D79" s="9" t="str">
        <f>questionnaire!D79</f>
        <v/>
      </c>
      <c r="E79" s="9" t="str">
        <f>questionnaire!E79</f>
        <v/>
      </c>
      <c r="F79" s="9">
        <f>8-questionnaire!F79</f>
        <v>8</v>
      </c>
      <c r="G79" s="9">
        <f>8-questionnaire!G79</f>
        <v>8</v>
      </c>
      <c r="H79" s="9">
        <f>8-questionnaire!H79</f>
        <v>8</v>
      </c>
      <c r="I79" s="9">
        <f>C79*10+D79*5+E79*1.66-(questionnaire!F79*1.66+questionnaire!G79*5+questionnaire!H79*10)</f>
        <v>0</v>
      </c>
    </row>
    <row r="80">
      <c r="A80" s="8" t="str">
        <f>questionnaire!A80</f>
        <v/>
      </c>
      <c r="B80" s="9" t="str">
        <f>questionnaire!B80</f>
        <v/>
      </c>
      <c r="C80" s="9" t="str">
        <f>questionnaire!C80</f>
        <v/>
      </c>
      <c r="D80" s="9" t="str">
        <f>questionnaire!D80</f>
        <v/>
      </c>
      <c r="E80" s="9" t="str">
        <f>questionnaire!E80</f>
        <v/>
      </c>
      <c r="F80" s="9">
        <f>8-questionnaire!F80</f>
        <v>8</v>
      </c>
      <c r="G80" s="9">
        <f>8-questionnaire!G80</f>
        <v>8</v>
      </c>
      <c r="H80" s="9">
        <f>8-questionnaire!H80</f>
        <v>8</v>
      </c>
      <c r="I80" s="9">
        <f>C80*10+D80*5+E80*1.66-(questionnaire!F80*1.66+questionnaire!G80*5+questionnaire!H80*10)</f>
        <v>0</v>
      </c>
    </row>
    <row r="81">
      <c r="A81" s="8" t="str">
        <f>questionnaire!A81</f>
        <v/>
      </c>
      <c r="B81" s="9" t="str">
        <f>questionnaire!B81</f>
        <v/>
      </c>
      <c r="C81" s="9" t="str">
        <f>questionnaire!C81</f>
        <v/>
      </c>
      <c r="D81" s="9" t="str">
        <f>questionnaire!D81</f>
        <v/>
      </c>
      <c r="E81" s="9" t="str">
        <f>questionnaire!E81</f>
        <v/>
      </c>
      <c r="F81" s="9">
        <f>8-questionnaire!F81</f>
        <v>8</v>
      </c>
      <c r="G81" s="9">
        <f>8-questionnaire!G81</f>
        <v>8</v>
      </c>
      <c r="H81" s="9">
        <f>8-questionnaire!H81</f>
        <v>8</v>
      </c>
      <c r="I81" s="9">
        <f>C81*10+D81*5+E81*1.66-(questionnaire!F81*1.66+questionnaire!G81*5+questionnaire!H81*10)</f>
        <v>0</v>
      </c>
    </row>
    <row r="82">
      <c r="A82" s="8" t="str">
        <f>questionnaire!A82</f>
        <v/>
      </c>
      <c r="B82" s="9" t="str">
        <f>questionnaire!B82</f>
        <v/>
      </c>
      <c r="C82" s="9" t="str">
        <f>questionnaire!C82</f>
        <v/>
      </c>
      <c r="D82" s="9" t="str">
        <f>questionnaire!D82</f>
        <v/>
      </c>
      <c r="E82" s="9" t="str">
        <f>questionnaire!E82</f>
        <v/>
      </c>
      <c r="F82" s="9">
        <f>8-questionnaire!F82</f>
        <v>8</v>
      </c>
      <c r="G82" s="9">
        <f>8-questionnaire!G82</f>
        <v>8</v>
      </c>
      <c r="H82" s="9">
        <f>8-questionnaire!H82</f>
        <v>8</v>
      </c>
      <c r="I82" s="9">
        <f>C82*10+D82*5+E82*1.66-(questionnaire!F82*1.66+questionnaire!G82*5+questionnaire!H82*10)</f>
        <v>0</v>
      </c>
    </row>
    <row r="83">
      <c r="A83" s="8" t="str">
        <f>questionnaire!A83</f>
        <v/>
      </c>
      <c r="B83" s="9" t="str">
        <f>questionnaire!B83</f>
        <v/>
      </c>
      <c r="C83" s="9" t="str">
        <f>questionnaire!C83</f>
        <v/>
      </c>
      <c r="D83" s="9" t="str">
        <f>questionnaire!D83</f>
        <v/>
      </c>
      <c r="E83" s="9" t="str">
        <f>questionnaire!E83</f>
        <v/>
      </c>
      <c r="F83" s="9">
        <f>8-questionnaire!F83</f>
        <v>8</v>
      </c>
      <c r="G83" s="9">
        <f>8-questionnaire!G83</f>
        <v>8</v>
      </c>
      <c r="H83" s="9">
        <f>8-questionnaire!H83</f>
        <v>8</v>
      </c>
      <c r="I83" s="9">
        <f>C83*10+D83*5+E83*1.66-(questionnaire!F83*1.66+questionnaire!G83*5+questionnaire!H83*10)</f>
        <v>0</v>
      </c>
    </row>
    <row r="84">
      <c r="A84" s="8" t="str">
        <f>questionnaire!A84</f>
        <v/>
      </c>
      <c r="B84" s="9" t="str">
        <f>questionnaire!B84</f>
        <v/>
      </c>
      <c r="C84" s="9" t="str">
        <f>questionnaire!C84</f>
        <v/>
      </c>
      <c r="D84" s="9" t="str">
        <f>questionnaire!D84</f>
        <v/>
      </c>
      <c r="E84" s="9" t="str">
        <f>questionnaire!E84</f>
        <v/>
      </c>
      <c r="F84" s="9">
        <f>8-questionnaire!F84</f>
        <v>8</v>
      </c>
      <c r="G84" s="9">
        <f>8-questionnaire!G84</f>
        <v>8</v>
      </c>
      <c r="H84" s="9">
        <f>8-questionnaire!H84</f>
        <v>8</v>
      </c>
      <c r="I84" s="9">
        <f>C84*10+D84*5+E84*1.66-(questionnaire!F84*1.66+questionnaire!G84*5+questionnaire!H84*10)</f>
        <v>0</v>
      </c>
    </row>
    <row r="85">
      <c r="A85" s="8" t="str">
        <f>questionnaire!A85</f>
        <v/>
      </c>
      <c r="B85" s="9" t="str">
        <f>questionnaire!B85</f>
        <v/>
      </c>
      <c r="C85" s="9" t="str">
        <f>questionnaire!C85</f>
        <v/>
      </c>
      <c r="D85" s="9" t="str">
        <f>questionnaire!D85</f>
        <v/>
      </c>
      <c r="E85" s="9" t="str">
        <f>questionnaire!E85</f>
        <v/>
      </c>
      <c r="F85" s="9">
        <f>8-questionnaire!F85</f>
        <v>8</v>
      </c>
      <c r="G85" s="9">
        <f>8-questionnaire!G85</f>
        <v>8</v>
      </c>
      <c r="H85" s="9">
        <f>8-questionnaire!H85</f>
        <v>8</v>
      </c>
      <c r="I85" s="9">
        <f>C85*10+D85*5+E85*1.66-(questionnaire!F85*1.66+questionnaire!G85*5+questionnaire!H85*10)</f>
        <v>0</v>
      </c>
    </row>
    <row r="86">
      <c r="A86" s="8" t="str">
        <f>questionnaire!A86</f>
        <v/>
      </c>
      <c r="B86" s="9" t="str">
        <f>questionnaire!B86</f>
        <v/>
      </c>
      <c r="C86" s="9" t="str">
        <f>questionnaire!C86</f>
        <v/>
      </c>
      <c r="D86" s="9" t="str">
        <f>questionnaire!D86</f>
        <v/>
      </c>
      <c r="E86" s="9" t="str">
        <f>questionnaire!E86</f>
        <v/>
      </c>
      <c r="F86" s="9">
        <f>8-questionnaire!F86</f>
        <v>8</v>
      </c>
      <c r="G86" s="9">
        <f>8-questionnaire!G86</f>
        <v>8</v>
      </c>
      <c r="H86" s="9">
        <f>8-questionnaire!H86</f>
        <v>8</v>
      </c>
      <c r="I86" s="9">
        <f>C86*10+D86*5+E86*1.66-(questionnaire!F86*1.66+questionnaire!G86*5+questionnaire!H86*10)</f>
        <v>0</v>
      </c>
    </row>
    <row r="87">
      <c r="A87" s="8" t="str">
        <f>questionnaire!A87</f>
        <v/>
      </c>
      <c r="B87" s="9" t="str">
        <f>questionnaire!B87</f>
        <v/>
      </c>
      <c r="C87" s="9" t="str">
        <f>questionnaire!C87</f>
        <v/>
      </c>
      <c r="D87" s="9" t="str">
        <f>questionnaire!D87</f>
        <v/>
      </c>
      <c r="E87" s="9" t="str">
        <f>questionnaire!E87</f>
        <v/>
      </c>
      <c r="F87" s="9">
        <f>8-questionnaire!F87</f>
        <v>8</v>
      </c>
      <c r="G87" s="9">
        <f>8-questionnaire!G87</f>
        <v>8</v>
      </c>
      <c r="H87" s="9">
        <f>8-questionnaire!H87</f>
        <v>8</v>
      </c>
      <c r="I87" s="9">
        <f>C87*10+D87*5+E87*1.66-(questionnaire!F87*1.66+questionnaire!G87*5+questionnaire!H87*10)</f>
        <v>0</v>
      </c>
    </row>
    <row r="88">
      <c r="A88" s="8" t="str">
        <f>questionnaire!A88</f>
        <v/>
      </c>
      <c r="B88" s="9" t="str">
        <f>questionnaire!B88</f>
        <v/>
      </c>
      <c r="C88" s="9" t="str">
        <f>questionnaire!C88</f>
        <v/>
      </c>
      <c r="D88" s="9" t="str">
        <f>questionnaire!D88</f>
        <v/>
      </c>
      <c r="E88" s="9" t="str">
        <f>questionnaire!E88</f>
        <v/>
      </c>
      <c r="F88" s="9">
        <f>8-questionnaire!F88</f>
        <v>8</v>
      </c>
      <c r="G88" s="9">
        <f>8-questionnaire!G88</f>
        <v>8</v>
      </c>
      <c r="H88" s="9">
        <f>8-questionnaire!H88</f>
        <v>8</v>
      </c>
      <c r="I88" s="9">
        <f>C88*10+D88*5+E88*1.66-(questionnaire!F88*1.66+questionnaire!G88*5+questionnaire!H88*10)</f>
        <v>0</v>
      </c>
    </row>
    <row r="89">
      <c r="A89" s="8" t="str">
        <f>questionnaire!A89</f>
        <v/>
      </c>
      <c r="B89" s="9" t="str">
        <f>questionnaire!B89</f>
        <v/>
      </c>
      <c r="C89" s="9" t="str">
        <f>questionnaire!C89</f>
        <v/>
      </c>
      <c r="D89" s="9" t="str">
        <f>questionnaire!D89</f>
        <v/>
      </c>
      <c r="E89" s="9" t="str">
        <f>questionnaire!E89</f>
        <v/>
      </c>
      <c r="F89" s="9">
        <f>8-questionnaire!F89</f>
        <v>8</v>
      </c>
      <c r="G89" s="9">
        <f>8-questionnaire!G89</f>
        <v>8</v>
      </c>
      <c r="H89" s="9">
        <f>8-questionnaire!H89</f>
        <v>8</v>
      </c>
      <c r="I89" s="9">
        <f>C89*10+D89*5+E89*1.66-(questionnaire!F89*1.66+questionnaire!G89*5+questionnaire!H89*10)</f>
        <v>0</v>
      </c>
    </row>
    <row r="90">
      <c r="A90" s="8" t="str">
        <f>questionnaire!A90</f>
        <v/>
      </c>
      <c r="B90" s="9" t="str">
        <f>questionnaire!B90</f>
        <v/>
      </c>
      <c r="C90" s="9" t="str">
        <f>questionnaire!C90</f>
        <v/>
      </c>
      <c r="D90" s="9" t="str">
        <f>questionnaire!D90</f>
        <v/>
      </c>
      <c r="E90" s="9" t="str">
        <f>questionnaire!E90</f>
        <v/>
      </c>
      <c r="F90" s="9">
        <f>8-questionnaire!F90</f>
        <v>8</v>
      </c>
      <c r="G90" s="9">
        <f>8-questionnaire!G90</f>
        <v>8</v>
      </c>
      <c r="H90" s="9">
        <f>8-questionnaire!H90</f>
        <v>8</v>
      </c>
      <c r="I90" s="9">
        <f>C90*10+D90*5+E90*1.66-(questionnaire!F90*1.66+questionnaire!G90*5+questionnaire!H90*10)</f>
        <v>0</v>
      </c>
    </row>
    <row r="91">
      <c r="A91" s="8" t="str">
        <f>questionnaire!A91</f>
        <v/>
      </c>
      <c r="B91" s="9" t="str">
        <f>questionnaire!B91</f>
        <v/>
      </c>
      <c r="C91" s="9" t="str">
        <f>questionnaire!C91</f>
        <v/>
      </c>
      <c r="D91" s="9" t="str">
        <f>questionnaire!D91</f>
        <v/>
      </c>
      <c r="E91" s="9" t="str">
        <f>questionnaire!E91</f>
        <v/>
      </c>
      <c r="F91" s="9">
        <f>8-questionnaire!F91</f>
        <v>8</v>
      </c>
      <c r="G91" s="9">
        <f>8-questionnaire!G91</f>
        <v>8</v>
      </c>
      <c r="H91" s="9">
        <f>8-questionnaire!H91</f>
        <v>8</v>
      </c>
      <c r="I91" s="9">
        <f>C91*10+D91*5+E91*1.66-(questionnaire!F91*1.66+questionnaire!G91*5+questionnaire!H91*10)</f>
        <v>0</v>
      </c>
    </row>
    <row r="92">
      <c r="A92" s="8" t="str">
        <f>questionnaire!A92</f>
        <v/>
      </c>
      <c r="B92" s="9" t="str">
        <f>questionnaire!B92</f>
        <v/>
      </c>
      <c r="C92" s="9" t="str">
        <f>questionnaire!C92</f>
        <v/>
      </c>
      <c r="D92" s="9" t="str">
        <f>questionnaire!D92</f>
        <v/>
      </c>
      <c r="E92" s="9" t="str">
        <f>questionnaire!E92</f>
        <v/>
      </c>
      <c r="F92" s="9">
        <f>8-questionnaire!F92</f>
        <v>8</v>
      </c>
      <c r="G92" s="9">
        <f>8-questionnaire!G92</f>
        <v>8</v>
      </c>
      <c r="H92" s="9">
        <f>8-questionnaire!H92</f>
        <v>8</v>
      </c>
      <c r="I92" s="9">
        <f>C92*10+D92*5+E92*1.66-(questionnaire!F92*1.66+questionnaire!G92*5+questionnaire!H92*10)</f>
        <v>0</v>
      </c>
    </row>
    <row r="93">
      <c r="A93" s="8" t="str">
        <f>questionnaire!A93</f>
        <v/>
      </c>
      <c r="B93" s="9" t="str">
        <f>questionnaire!B93</f>
        <v/>
      </c>
      <c r="C93" s="9" t="str">
        <f>questionnaire!C93</f>
        <v/>
      </c>
      <c r="D93" s="9" t="str">
        <f>questionnaire!D93</f>
        <v/>
      </c>
      <c r="E93" s="9" t="str">
        <f>questionnaire!E93</f>
        <v/>
      </c>
      <c r="F93" s="9">
        <f>8-questionnaire!F93</f>
        <v>8</v>
      </c>
      <c r="G93" s="9">
        <f>8-questionnaire!G93</f>
        <v>8</v>
      </c>
      <c r="H93" s="9">
        <f>8-questionnaire!H93</f>
        <v>8</v>
      </c>
      <c r="I93" s="9">
        <f>C93*10+D93*5+E93*1.66-(questionnaire!F93*1.66+questionnaire!G93*5+questionnaire!H93*10)</f>
        <v>0</v>
      </c>
    </row>
    <row r="94">
      <c r="A94" s="8" t="str">
        <f>questionnaire!A94</f>
        <v/>
      </c>
      <c r="B94" s="9" t="str">
        <f>questionnaire!B94</f>
        <v/>
      </c>
      <c r="C94" s="9" t="str">
        <f>questionnaire!C94</f>
        <v/>
      </c>
      <c r="D94" s="9" t="str">
        <f>questionnaire!D94</f>
        <v/>
      </c>
      <c r="E94" s="9" t="str">
        <f>questionnaire!E94</f>
        <v/>
      </c>
      <c r="F94" s="9">
        <f>8-questionnaire!F94</f>
        <v>8</v>
      </c>
      <c r="G94" s="9">
        <f>8-questionnaire!G94</f>
        <v>8</v>
      </c>
      <c r="H94" s="9">
        <f>8-questionnaire!H94</f>
        <v>8</v>
      </c>
      <c r="I94" s="9">
        <f>C94*10+D94*5+E94*1.66-(questionnaire!F94*1.66+questionnaire!G94*5+questionnaire!H94*10)</f>
        <v>0</v>
      </c>
    </row>
    <row r="95">
      <c r="A95" s="8" t="str">
        <f>questionnaire!A95</f>
        <v/>
      </c>
      <c r="B95" s="9" t="str">
        <f>questionnaire!B95</f>
        <v/>
      </c>
      <c r="C95" s="9" t="str">
        <f>questionnaire!C95</f>
        <v/>
      </c>
      <c r="D95" s="9" t="str">
        <f>questionnaire!D95</f>
        <v/>
      </c>
      <c r="E95" s="9" t="str">
        <f>questionnaire!E95</f>
        <v/>
      </c>
      <c r="F95" s="9">
        <f>8-questionnaire!F95</f>
        <v>8</v>
      </c>
      <c r="G95" s="9">
        <f>8-questionnaire!G95</f>
        <v>8</v>
      </c>
      <c r="H95" s="9">
        <f>8-questionnaire!H95</f>
        <v>8</v>
      </c>
      <c r="I95" s="9">
        <f>C95*10+D95*5+E95*1.66-(questionnaire!F95*1.66+questionnaire!G95*5+questionnaire!H95*10)</f>
        <v>0</v>
      </c>
    </row>
    <row r="96">
      <c r="A96" s="8" t="str">
        <f>questionnaire!A96</f>
        <v/>
      </c>
      <c r="B96" s="9" t="str">
        <f>questionnaire!B96</f>
        <v/>
      </c>
      <c r="C96" s="9" t="str">
        <f>questionnaire!C96</f>
        <v/>
      </c>
      <c r="D96" s="9" t="str">
        <f>questionnaire!D96</f>
        <v/>
      </c>
      <c r="E96" s="9" t="str">
        <f>questionnaire!E96</f>
        <v/>
      </c>
      <c r="F96" s="9">
        <f>8-questionnaire!F96</f>
        <v>8</v>
      </c>
      <c r="G96" s="9">
        <f>8-questionnaire!G96</f>
        <v>8</v>
      </c>
      <c r="H96" s="9">
        <f>8-questionnaire!H96</f>
        <v>8</v>
      </c>
      <c r="I96" s="9">
        <f>C96*10+D96*5+E96*1.66-(questionnaire!F96*1.66+questionnaire!G96*5+questionnaire!H96*10)</f>
        <v>0</v>
      </c>
    </row>
    <row r="97">
      <c r="A97" s="8" t="str">
        <f>questionnaire!A97</f>
        <v/>
      </c>
      <c r="B97" s="9" t="str">
        <f>questionnaire!B97</f>
        <v/>
      </c>
      <c r="C97" s="9" t="str">
        <f>questionnaire!C97</f>
        <v/>
      </c>
      <c r="D97" s="9" t="str">
        <f>questionnaire!D97</f>
        <v/>
      </c>
      <c r="E97" s="9" t="str">
        <f>questionnaire!E97</f>
        <v/>
      </c>
      <c r="F97" s="9">
        <f>8-questionnaire!F97</f>
        <v>8</v>
      </c>
      <c r="G97" s="9">
        <f>8-questionnaire!G97</f>
        <v>8</v>
      </c>
      <c r="H97" s="9">
        <f>8-questionnaire!H97</f>
        <v>8</v>
      </c>
      <c r="I97" s="9">
        <f>C97*10+D97*5+E97*1.66-(questionnaire!F97*1.66+questionnaire!G97*5+questionnaire!H97*10)</f>
        <v>0</v>
      </c>
    </row>
    <row r="98">
      <c r="A98" s="8" t="str">
        <f>questionnaire!A98</f>
        <v/>
      </c>
      <c r="B98" s="9" t="str">
        <f>questionnaire!B98</f>
        <v/>
      </c>
      <c r="C98" s="9" t="str">
        <f>questionnaire!C98</f>
        <v/>
      </c>
      <c r="D98" s="9" t="str">
        <f>questionnaire!D98</f>
        <v/>
      </c>
      <c r="E98" s="9" t="str">
        <f>questionnaire!E98</f>
        <v/>
      </c>
      <c r="F98" s="9">
        <f>8-questionnaire!F98</f>
        <v>8</v>
      </c>
      <c r="G98" s="9">
        <f>8-questionnaire!G98</f>
        <v>8</v>
      </c>
      <c r="H98" s="9">
        <f>8-questionnaire!H98</f>
        <v>8</v>
      </c>
      <c r="I98" s="9">
        <f>C98*10+D98*5+E98*1.66-(questionnaire!F98*1.66+questionnaire!G98*5+questionnaire!H98*10)</f>
        <v>0</v>
      </c>
    </row>
    <row r="99">
      <c r="A99" s="8" t="str">
        <f>questionnaire!A99</f>
        <v/>
      </c>
      <c r="B99" s="9" t="str">
        <f>questionnaire!B99</f>
        <v/>
      </c>
      <c r="C99" s="9" t="str">
        <f>questionnaire!C99</f>
        <v/>
      </c>
      <c r="D99" s="9" t="str">
        <f>questionnaire!D99</f>
        <v/>
      </c>
      <c r="E99" s="9" t="str">
        <f>questionnaire!E99</f>
        <v/>
      </c>
      <c r="F99" s="9">
        <f>8-questionnaire!F99</f>
        <v>8</v>
      </c>
      <c r="G99" s="9">
        <f>8-questionnaire!G99</f>
        <v>8</v>
      </c>
      <c r="H99" s="9">
        <f>8-questionnaire!H99</f>
        <v>8</v>
      </c>
      <c r="I99" s="9">
        <f>C99*10+D99*5+E99*1.66-(questionnaire!F99*1.66+questionnaire!G99*5+questionnaire!H99*10)</f>
        <v>0</v>
      </c>
    </row>
    <row r="100">
      <c r="A100" s="8" t="str">
        <f>questionnaire!A100</f>
        <v/>
      </c>
      <c r="B100" s="9" t="str">
        <f>questionnaire!B100</f>
        <v/>
      </c>
      <c r="C100" s="9" t="str">
        <f>questionnaire!C100</f>
        <v/>
      </c>
      <c r="D100" s="9" t="str">
        <f>questionnaire!D100</f>
        <v/>
      </c>
      <c r="E100" s="9" t="str">
        <f>questionnaire!E100</f>
        <v/>
      </c>
      <c r="F100" s="9">
        <f>8-questionnaire!F100</f>
        <v>8</v>
      </c>
      <c r="G100" s="9">
        <f>8-questionnaire!G100</f>
        <v>8</v>
      </c>
      <c r="H100" s="9">
        <f>8-questionnaire!H100</f>
        <v>8</v>
      </c>
      <c r="I100" s="9">
        <f>C100*10+D100*5+E100*1.66-(questionnaire!F100*1.66+questionnaire!G100*5+questionnaire!H100*10)</f>
        <v>0</v>
      </c>
    </row>
    <row r="101">
      <c r="A101" s="8" t="str">
        <f>questionnaire!A101</f>
        <v/>
      </c>
      <c r="B101" s="9" t="str">
        <f>questionnaire!B101</f>
        <v/>
      </c>
      <c r="C101" s="9" t="str">
        <f>questionnaire!C101</f>
        <v/>
      </c>
      <c r="D101" s="9" t="str">
        <f>questionnaire!D101</f>
        <v/>
      </c>
      <c r="E101" s="9" t="str">
        <f>questionnaire!E101</f>
        <v/>
      </c>
      <c r="F101" s="9">
        <f>8-questionnaire!F101</f>
        <v>8</v>
      </c>
      <c r="G101" s="9">
        <f>8-questionnaire!G101</f>
        <v>8</v>
      </c>
      <c r="H101" s="9">
        <f>8-questionnaire!H101</f>
        <v>8</v>
      </c>
      <c r="I101" s="9">
        <f>C101*10+D101*5+E101*1.66-(questionnaire!F101*1.66+questionnaire!G101*5+questionnaire!H101*10)</f>
        <v>0</v>
      </c>
    </row>
    <row r="102">
      <c r="A102" s="8" t="str">
        <f>questionnaire!A102</f>
        <v/>
      </c>
      <c r="B102" s="9" t="str">
        <f>questionnaire!B102</f>
        <v/>
      </c>
      <c r="C102" s="9" t="str">
        <f>questionnaire!C102</f>
        <v/>
      </c>
      <c r="D102" s="9" t="str">
        <f>questionnaire!D102</f>
        <v/>
      </c>
      <c r="E102" s="9" t="str">
        <f>questionnaire!E102</f>
        <v/>
      </c>
      <c r="F102" s="9">
        <f>8-questionnaire!F102</f>
        <v>8</v>
      </c>
      <c r="G102" s="9">
        <f>8-questionnaire!G102</f>
        <v>8</v>
      </c>
      <c r="H102" s="9">
        <f>8-questionnaire!H102</f>
        <v>8</v>
      </c>
      <c r="I102" s="9">
        <f>C102*10+D102*5+E102*1.66-(questionnaire!F102*1.66+questionnaire!G102*5+questionnaire!H102*10)</f>
        <v>0</v>
      </c>
    </row>
    <row r="103">
      <c r="A103" s="8" t="str">
        <f>questionnaire!A103</f>
        <v/>
      </c>
      <c r="B103" s="9" t="str">
        <f>questionnaire!B103</f>
        <v/>
      </c>
      <c r="C103" s="9" t="str">
        <f>questionnaire!C103</f>
        <v/>
      </c>
      <c r="D103" s="9" t="str">
        <f>questionnaire!D103</f>
        <v/>
      </c>
      <c r="E103" s="9" t="str">
        <f>questionnaire!E103</f>
        <v/>
      </c>
      <c r="F103" s="9">
        <f>8-questionnaire!F103</f>
        <v>8</v>
      </c>
      <c r="G103" s="9">
        <f>8-questionnaire!G103</f>
        <v>8</v>
      </c>
      <c r="H103" s="9">
        <f>8-questionnaire!H103</f>
        <v>8</v>
      </c>
      <c r="I103" s="9">
        <f>C103*10+D103*5+E103*1.66-(questionnaire!F103*1.66+questionnaire!G103*5+questionnaire!H103*10)</f>
        <v>0</v>
      </c>
    </row>
    <row r="104">
      <c r="A104" s="8" t="str">
        <f>questionnaire!A104</f>
        <v/>
      </c>
      <c r="B104" s="9" t="str">
        <f>questionnaire!B104</f>
        <v/>
      </c>
      <c r="C104" s="9" t="str">
        <f>questionnaire!C104</f>
        <v/>
      </c>
      <c r="D104" s="9" t="str">
        <f>questionnaire!D104</f>
        <v/>
      </c>
      <c r="E104" s="9" t="str">
        <f>questionnaire!E104</f>
        <v/>
      </c>
      <c r="F104" s="9">
        <f>8-questionnaire!F104</f>
        <v>8</v>
      </c>
      <c r="G104" s="9">
        <f>8-questionnaire!G104</f>
        <v>8</v>
      </c>
      <c r="H104" s="9">
        <f>8-questionnaire!H104</f>
        <v>8</v>
      </c>
      <c r="I104" s="9">
        <f>C104*10+D104*5+E104*1.66-(questionnaire!F104*1.66+questionnaire!G104*5+questionnaire!H104*10)</f>
        <v>0</v>
      </c>
    </row>
    <row r="105">
      <c r="A105" s="8" t="str">
        <f>questionnaire!A105</f>
        <v/>
      </c>
      <c r="B105" s="9" t="str">
        <f>questionnaire!B105</f>
        <v/>
      </c>
      <c r="C105" s="9" t="str">
        <f>questionnaire!C105</f>
        <v/>
      </c>
      <c r="D105" s="9" t="str">
        <f>questionnaire!D105</f>
        <v/>
      </c>
      <c r="E105" s="9" t="str">
        <f>questionnaire!E105</f>
        <v/>
      </c>
      <c r="F105" s="9">
        <f>8-questionnaire!F105</f>
        <v>8</v>
      </c>
      <c r="G105" s="9">
        <f>8-questionnaire!G105</f>
        <v>8</v>
      </c>
      <c r="H105" s="9">
        <f>8-questionnaire!H105</f>
        <v>8</v>
      </c>
      <c r="I105" s="9">
        <f>C105*10+D105*5+E105*1.66-(questionnaire!F105*1.66+questionnaire!G105*5+questionnaire!H105*10)</f>
        <v>0</v>
      </c>
    </row>
    <row r="106">
      <c r="A106" s="8" t="str">
        <f>questionnaire!A106</f>
        <v/>
      </c>
      <c r="B106" s="9" t="str">
        <f>questionnaire!B106</f>
        <v/>
      </c>
      <c r="C106" s="9" t="str">
        <f>questionnaire!C106</f>
        <v/>
      </c>
      <c r="D106" s="9" t="str">
        <f>questionnaire!D106</f>
        <v/>
      </c>
      <c r="E106" s="9" t="str">
        <f>questionnaire!E106</f>
        <v/>
      </c>
      <c r="F106" s="9">
        <f>8-questionnaire!F106</f>
        <v>8</v>
      </c>
      <c r="G106" s="9">
        <f>8-questionnaire!G106</f>
        <v>8</v>
      </c>
      <c r="H106" s="9">
        <f>8-questionnaire!H106</f>
        <v>8</v>
      </c>
      <c r="I106" s="9">
        <f>C106*10+D106*5+E106*1.66-(questionnaire!F106*1.66+questionnaire!G106*5+questionnaire!H106*10)</f>
        <v>0</v>
      </c>
    </row>
    <row r="107">
      <c r="A107" s="8" t="str">
        <f>questionnaire!A107</f>
        <v/>
      </c>
      <c r="B107" s="9" t="str">
        <f>questionnaire!B107</f>
        <v/>
      </c>
      <c r="C107" s="9" t="str">
        <f>questionnaire!C107</f>
        <v/>
      </c>
      <c r="D107" s="9" t="str">
        <f>questionnaire!D107</f>
        <v/>
      </c>
      <c r="E107" s="9" t="str">
        <f>questionnaire!E107</f>
        <v/>
      </c>
      <c r="F107" s="9">
        <f>8-questionnaire!F107</f>
        <v>8</v>
      </c>
      <c r="G107" s="9">
        <f>8-questionnaire!G107</f>
        <v>8</v>
      </c>
      <c r="H107" s="9">
        <f>8-questionnaire!H107</f>
        <v>8</v>
      </c>
      <c r="I107" s="9">
        <f>C107*10+D107*5+E107*1.66-(questionnaire!F107*1.66+questionnaire!G107*5+questionnaire!H107*10)</f>
        <v>0</v>
      </c>
    </row>
    <row r="108">
      <c r="A108" s="8" t="str">
        <f>questionnaire!A108</f>
        <v/>
      </c>
      <c r="B108" s="9" t="str">
        <f>questionnaire!B108</f>
        <v/>
      </c>
      <c r="C108" s="9" t="str">
        <f>questionnaire!C108</f>
        <v/>
      </c>
      <c r="D108" s="9" t="str">
        <f>questionnaire!D108</f>
        <v/>
      </c>
      <c r="E108" s="9" t="str">
        <f>questionnaire!E108</f>
        <v/>
      </c>
      <c r="F108" s="9">
        <f>8-questionnaire!F108</f>
        <v>8</v>
      </c>
      <c r="G108" s="9">
        <f>8-questionnaire!G108</f>
        <v>8</v>
      </c>
      <c r="H108" s="9">
        <f>8-questionnaire!H108</f>
        <v>8</v>
      </c>
      <c r="I108" s="9">
        <f>C108*10+D108*5+E108*1.66-(questionnaire!F108*1.66+questionnaire!G108*5+questionnaire!H108*10)</f>
        <v>0</v>
      </c>
    </row>
    <row r="109">
      <c r="A109" s="8" t="str">
        <f>questionnaire!A109</f>
        <v/>
      </c>
      <c r="B109" s="9" t="str">
        <f>questionnaire!B109</f>
        <v/>
      </c>
      <c r="C109" s="9" t="str">
        <f>questionnaire!C109</f>
        <v/>
      </c>
      <c r="D109" s="9" t="str">
        <f>questionnaire!D109</f>
        <v/>
      </c>
      <c r="E109" s="9" t="str">
        <f>questionnaire!E109</f>
        <v/>
      </c>
      <c r="F109" s="9">
        <f>8-questionnaire!F109</f>
        <v>8</v>
      </c>
      <c r="G109" s="9">
        <f>8-questionnaire!G109</f>
        <v>8</v>
      </c>
      <c r="H109" s="9">
        <f>8-questionnaire!H109</f>
        <v>8</v>
      </c>
      <c r="I109" s="9">
        <f>C109*10+D109*5+E109*1.66-(questionnaire!F109*1.66+questionnaire!G109*5+questionnaire!H109*10)</f>
        <v>0</v>
      </c>
    </row>
    <row r="110">
      <c r="A110" s="8" t="str">
        <f>questionnaire!A110</f>
        <v/>
      </c>
      <c r="B110" s="9" t="str">
        <f>questionnaire!B110</f>
        <v/>
      </c>
      <c r="C110" s="9" t="str">
        <f>questionnaire!C110</f>
        <v/>
      </c>
      <c r="D110" s="9" t="str">
        <f>questionnaire!D110</f>
        <v/>
      </c>
      <c r="E110" s="9" t="str">
        <f>questionnaire!E110</f>
        <v/>
      </c>
      <c r="F110" s="9">
        <f>8-questionnaire!F110</f>
        <v>8</v>
      </c>
      <c r="G110" s="9">
        <f>8-questionnaire!G110</f>
        <v>8</v>
      </c>
      <c r="H110" s="9">
        <f>8-questionnaire!H110</f>
        <v>8</v>
      </c>
      <c r="I110" s="9">
        <f>C110*10+D110*5+E110*1.66-(questionnaire!F110*1.66+questionnaire!G110*5+questionnaire!H110*10)</f>
        <v>0</v>
      </c>
    </row>
    <row r="111">
      <c r="A111" s="8" t="str">
        <f>questionnaire!A111</f>
        <v/>
      </c>
      <c r="B111" s="9" t="str">
        <f>questionnaire!B111</f>
        <v/>
      </c>
      <c r="C111" s="9" t="str">
        <f>questionnaire!C111</f>
        <v/>
      </c>
      <c r="D111" s="9" t="str">
        <f>questionnaire!D111</f>
        <v/>
      </c>
      <c r="E111" s="9" t="str">
        <f>questionnaire!E111</f>
        <v/>
      </c>
      <c r="F111" s="9">
        <f>8-questionnaire!F111</f>
        <v>8</v>
      </c>
      <c r="G111" s="9">
        <f>8-questionnaire!G111</f>
        <v>8</v>
      </c>
      <c r="H111" s="9">
        <f>8-questionnaire!H111</f>
        <v>8</v>
      </c>
      <c r="I111" s="9">
        <f>C111*10+D111*5+E111*1.66-(questionnaire!F111*1.66+questionnaire!G111*5+questionnaire!H111*10)</f>
        <v>0</v>
      </c>
    </row>
    <row r="112">
      <c r="A112" s="8" t="str">
        <f>questionnaire!A112</f>
        <v/>
      </c>
      <c r="B112" s="9" t="str">
        <f>questionnaire!B112</f>
        <v/>
      </c>
      <c r="C112" s="9" t="str">
        <f>questionnaire!C112</f>
        <v/>
      </c>
      <c r="D112" s="9" t="str">
        <f>questionnaire!D112</f>
        <v/>
      </c>
      <c r="E112" s="9" t="str">
        <f>questionnaire!E112</f>
        <v/>
      </c>
      <c r="F112" s="9">
        <f>8-questionnaire!F112</f>
        <v>8</v>
      </c>
      <c r="G112" s="9">
        <f>8-questionnaire!G112</f>
        <v>8</v>
      </c>
      <c r="H112" s="9">
        <f>8-questionnaire!H112</f>
        <v>8</v>
      </c>
      <c r="I112" s="9">
        <f>C112*10+D112*5+E112*1.66-(questionnaire!F112*1.66+questionnaire!G112*5+questionnaire!H112*10)</f>
        <v>0</v>
      </c>
    </row>
    <row r="113">
      <c r="A113" s="8" t="str">
        <f>questionnaire!A113</f>
        <v/>
      </c>
      <c r="B113" s="9" t="str">
        <f>questionnaire!B113</f>
        <v/>
      </c>
      <c r="C113" s="9" t="str">
        <f>questionnaire!C113</f>
        <v/>
      </c>
      <c r="D113" s="9" t="str">
        <f>questionnaire!D113</f>
        <v/>
      </c>
      <c r="E113" s="9" t="str">
        <f>questionnaire!E113</f>
        <v/>
      </c>
      <c r="F113" s="9">
        <f>8-questionnaire!F113</f>
        <v>8</v>
      </c>
      <c r="G113" s="9">
        <f>8-questionnaire!G113</f>
        <v>8</v>
      </c>
      <c r="H113" s="9">
        <f>8-questionnaire!H113</f>
        <v>8</v>
      </c>
      <c r="I113" s="9">
        <f>C113*10+D113*5+E113*1.66-(questionnaire!F113*1.66+questionnaire!G113*5+questionnaire!H113*10)</f>
        <v>0</v>
      </c>
    </row>
    <row r="114">
      <c r="A114" s="8" t="str">
        <f>questionnaire!A114</f>
        <v/>
      </c>
      <c r="B114" s="9" t="str">
        <f>questionnaire!B114</f>
        <v/>
      </c>
      <c r="C114" s="9" t="str">
        <f>questionnaire!C114</f>
        <v/>
      </c>
      <c r="D114" s="9" t="str">
        <f>questionnaire!D114</f>
        <v/>
      </c>
      <c r="E114" s="9" t="str">
        <f>questionnaire!E114</f>
        <v/>
      </c>
      <c r="F114" s="9">
        <f>8-questionnaire!F114</f>
        <v>8</v>
      </c>
      <c r="G114" s="9">
        <f>8-questionnaire!G114</f>
        <v>8</v>
      </c>
      <c r="H114" s="9">
        <f>8-questionnaire!H114</f>
        <v>8</v>
      </c>
      <c r="I114" s="9">
        <f>C114*10+D114*5+E114*1.66-(questionnaire!F114*1.66+questionnaire!G114*5+questionnaire!H114*10)</f>
        <v>0</v>
      </c>
    </row>
    <row r="115">
      <c r="A115" s="8" t="str">
        <f>questionnaire!A115</f>
        <v/>
      </c>
      <c r="B115" s="9" t="str">
        <f>questionnaire!B115</f>
        <v/>
      </c>
      <c r="C115" s="9" t="str">
        <f>questionnaire!C115</f>
        <v/>
      </c>
      <c r="D115" s="9" t="str">
        <f>questionnaire!D115</f>
        <v/>
      </c>
      <c r="E115" s="9" t="str">
        <f>questionnaire!E115</f>
        <v/>
      </c>
      <c r="F115" s="9">
        <f>8-questionnaire!F115</f>
        <v>8</v>
      </c>
      <c r="G115" s="9">
        <f>8-questionnaire!G115</f>
        <v>8</v>
      </c>
      <c r="H115" s="9">
        <f>8-questionnaire!H115</f>
        <v>8</v>
      </c>
      <c r="I115" s="9">
        <f>C115*10+D115*5+E115*1.66-(questionnaire!F115*1.66+questionnaire!G115*5+questionnaire!H115*10)</f>
        <v>0</v>
      </c>
    </row>
    <row r="116">
      <c r="A116" s="8" t="str">
        <f>questionnaire!A116</f>
        <v/>
      </c>
      <c r="B116" s="9" t="str">
        <f>questionnaire!B116</f>
        <v/>
      </c>
      <c r="C116" s="9" t="str">
        <f>questionnaire!C116</f>
        <v/>
      </c>
      <c r="D116" s="9" t="str">
        <f>questionnaire!D116</f>
        <v/>
      </c>
      <c r="E116" s="9" t="str">
        <f>questionnaire!E116</f>
        <v/>
      </c>
      <c r="F116" s="9">
        <f>8-questionnaire!F116</f>
        <v>8</v>
      </c>
      <c r="G116" s="9">
        <f>8-questionnaire!G116</f>
        <v>8</v>
      </c>
      <c r="H116" s="9">
        <f>8-questionnaire!H116</f>
        <v>8</v>
      </c>
      <c r="I116" s="9">
        <f>C116*10+D116*5+E116*1.66-(questionnaire!F116*1.66+questionnaire!G116*5+questionnaire!H116*10)</f>
        <v>0</v>
      </c>
    </row>
    <row r="117">
      <c r="A117" s="8" t="str">
        <f>questionnaire!A117</f>
        <v/>
      </c>
      <c r="B117" s="9" t="str">
        <f>questionnaire!B117</f>
        <v/>
      </c>
      <c r="C117" s="9" t="str">
        <f>questionnaire!C117</f>
        <v/>
      </c>
      <c r="D117" s="9" t="str">
        <f>questionnaire!D117</f>
        <v/>
      </c>
      <c r="E117" s="9" t="str">
        <f>questionnaire!E117</f>
        <v/>
      </c>
      <c r="F117" s="9">
        <f>8-questionnaire!F117</f>
        <v>8</v>
      </c>
      <c r="G117" s="9">
        <f>8-questionnaire!G117</f>
        <v>8</v>
      </c>
      <c r="H117" s="9">
        <f>8-questionnaire!H117</f>
        <v>8</v>
      </c>
      <c r="I117" s="9">
        <f>C117*10+D117*5+E117*1.66-(questionnaire!F117*1.66+questionnaire!G117*5+questionnaire!H117*10)</f>
        <v>0</v>
      </c>
    </row>
    <row r="118">
      <c r="A118" s="8" t="str">
        <f>questionnaire!A118</f>
        <v/>
      </c>
      <c r="B118" s="9" t="str">
        <f>questionnaire!B118</f>
        <v/>
      </c>
      <c r="C118" s="9" t="str">
        <f>questionnaire!C118</f>
        <v/>
      </c>
      <c r="D118" s="9" t="str">
        <f>questionnaire!D118</f>
        <v/>
      </c>
      <c r="E118" s="9" t="str">
        <f>questionnaire!E118</f>
        <v/>
      </c>
      <c r="F118" s="9">
        <f>8-questionnaire!F118</f>
        <v>8</v>
      </c>
      <c r="G118" s="9">
        <f>8-questionnaire!G118</f>
        <v>8</v>
      </c>
      <c r="H118" s="9">
        <f>8-questionnaire!H118</f>
        <v>8</v>
      </c>
      <c r="I118" s="9">
        <f>C118*10+D118*5+E118*1.66-(questionnaire!F118*1.66+questionnaire!G118*5+questionnaire!H118*10)</f>
        <v>0</v>
      </c>
    </row>
    <row r="119">
      <c r="A119" s="8" t="str">
        <f>questionnaire!A119</f>
        <v/>
      </c>
      <c r="B119" s="9" t="str">
        <f>questionnaire!B119</f>
        <v/>
      </c>
      <c r="C119" s="9" t="str">
        <f>questionnaire!C119</f>
        <v/>
      </c>
      <c r="D119" s="9" t="str">
        <f>questionnaire!D119</f>
        <v/>
      </c>
      <c r="E119" s="9" t="str">
        <f>questionnaire!E119</f>
        <v/>
      </c>
      <c r="F119" s="9">
        <f>8-questionnaire!F119</f>
        <v>8</v>
      </c>
      <c r="G119" s="9">
        <f>8-questionnaire!G119</f>
        <v>8</v>
      </c>
      <c r="H119" s="9">
        <f>8-questionnaire!H119</f>
        <v>8</v>
      </c>
      <c r="I119" s="9">
        <f>C119*10+D119*5+E119*1.66-(questionnaire!F119*1.66+questionnaire!G119*5+questionnaire!H119*10)</f>
        <v>0</v>
      </c>
    </row>
    <row r="120">
      <c r="A120" s="8" t="str">
        <f>questionnaire!A120</f>
        <v/>
      </c>
      <c r="B120" s="9" t="str">
        <f>questionnaire!B120</f>
        <v/>
      </c>
      <c r="C120" s="9" t="str">
        <f>questionnaire!C120</f>
        <v/>
      </c>
      <c r="D120" s="9" t="str">
        <f>questionnaire!D120</f>
        <v/>
      </c>
      <c r="E120" s="9" t="str">
        <f>questionnaire!E120</f>
        <v/>
      </c>
      <c r="F120" s="9">
        <f>8-questionnaire!F120</f>
        <v>8</v>
      </c>
      <c r="G120" s="9">
        <f>8-questionnaire!G120</f>
        <v>8</v>
      </c>
      <c r="H120" s="9">
        <f>8-questionnaire!H120</f>
        <v>8</v>
      </c>
      <c r="I120" s="9">
        <f>C120*10+D120*5+E120*1.66-(questionnaire!F120*1.66+questionnaire!G120*5+questionnaire!H120*10)</f>
        <v>0</v>
      </c>
    </row>
    <row r="121">
      <c r="A121" s="8" t="str">
        <f>questionnaire!A121</f>
        <v/>
      </c>
      <c r="B121" s="9" t="str">
        <f>questionnaire!B121</f>
        <v/>
      </c>
      <c r="C121" s="9" t="str">
        <f>questionnaire!C121</f>
        <v/>
      </c>
      <c r="D121" s="9" t="str">
        <f>questionnaire!D121</f>
        <v/>
      </c>
      <c r="E121" s="9" t="str">
        <f>questionnaire!E121</f>
        <v/>
      </c>
      <c r="F121" s="9">
        <f>8-questionnaire!F121</f>
        <v>8</v>
      </c>
      <c r="G121" s="9">
        <f>8-questionnaire!G121</f>
        <v>8</v>
      </c>
      <c r="H121" s="9">
        <f>8-questionnaire!H121</f>
        <v>8</v>
      </c>
      <c r="I121" s="9">
        <f>C121*10+D121*5+E121*1.66-(questionnaire!F121*1.66+questionnaire!G121*5+questionnaire!H121*10)</f>
        <v>0</v>
      </c>
    </row>
    <row r="122">
      <c r="A122" s="8" t="str">
        <f>questionnaire!A122</f>
        <v/>
      </c>
      <c r="B122" s="9" t="str">
        <f>questionnaire!B122</f>
        <v/>
      </c>
      <c r="C122" s="9" t="str">
        <f>questionnaire!C122</f>
        <v/>
      </c>
      <c r="D122" s="9" t="str">
        <f>questionnaire!D122</f>
        <v/>
      </c>
      <c r="E122" s="9" t="str">
        <f>questionnaire!E122</f>
        <v/>
      </c>
      <c r="F122" s="9">
        <f>8-questionnaire!F122</f>
        <v>8</v>
      </c>
      <c r="G122" s="9">
        <f>8-questionnaire!G122</f>
        <v>8</v>
      </c>
      <c r="H122" s="9">
        <f>8-questionnaire!H122</f>
        <v>8</v>
      </c>
      <c r="I122" s="9">
        <f>C122*10+D122*5+E122*1.66-(questionnaire!F122*1.66+questionnaire!G122*5+questionnaire!H122*10)</f>
        <v>0</v>
      </c>
    </row>
    <row r="123">
      <c r="A123" s="8" t="str">
        <f>questionnaire!A123</f>
        <v/>
      </c>
      <c r="B123" s="9" t="str">
        <f>questionnaire!B123</f>
        <v/>
      </c>
      <c r="C123" s="9" t="str">
        <f>questionnaire!C123</f>
        <v/>
      </c>
      <c r="D123" s="9" t="str">
        <f>questionnaire!D123</f>
        <v/>
      </c>
      <c r="E123" s="9" t="str">
        <f>questionnaire!E123</f>
        <v/>
      </c>
      <c r="F123" s="9">
        <f>8-questionnaire!F123</f>
        <v>8</v>
      </c>
      <c r="G123" s="9">
        <f>8-questionnaire!G123</f>
        <v>8</v>
      </c>
      <c r="H123" s="9">
        <f>8-questionnaire!H123</f>
        <v>8</v>
      </c>
      <c r="I123" s="9">
        <f>C123*10+D123*5+E123*1.66-(questionnaire!F123*1.66+questionnaire!G123*5+questionnaire!H123*10)</f>
        <v>0</v>
      </c>
    </row>
    <row r="124">
      <c r="A124" s="8" t="str">
        <f>questionnaire!A124</f>
        <v/>
      </c>
      <c r="B124" s="9" t="str">
        <f>questionnaire!B124</f>
        <v/>
      </c>
      <c r="C124" s="9" t="str">
        <f>questionnaire!C124</f>
        <v/>
      </c>
      <c r="D124" s="9" t="str">
        <f>questionnaire!D124</f>
        <v/>
      </c>
      <c r="E124" s="9" t="str">
        <f>questionnaire!E124</f>
        <v/>
      </c>
      <c r="F124" s="9">
        <f>8-questionnaire!F124</f>
        <v>8</v>
      </c>
      <c r="G124" s="9">
        <f>8-questionnaire!G124</f>
        <v>8</v>
      </c>
      <c r="H124" s="9">
        <f>8-questionnaire!H124</f>
        <v>8</v>
      </c>
      <c r="I124" s="9">
        <f>C124*10+D124*5+E124*1.66-(questionnaire!F124*1.66+questionnaire!G124*5+questionnaire!H124*10)</f>
        <v>0</v>
      </c>
    </row>
    <row r="125">
      <c r="A125" s="8" t="str">
        <f>questionnaire!A125</f>
        <v/>
      </c>
      <c r="B125" s="9" t="str">
        <f>questionnaire!B125</f>
        <v/>
      </c>
      <c r="C125" s="9" t="str">
        <f>questionnaire!C125</f>
        <v/>
      </c>
      <c r="D125" s="9" t="str">
        <f>questionnaire!D125</f>
        <v/>
      </c>
      <c r="E125" s="9" t="str">
        <f>questionnaire!E125</f>
        <v/>
      </c>
      <c r="F125" s="9">
        <f>8-questionnaire!F125</f>
        <v>8</v>
      </c>
      <c r="G125" s="9">
        <f>8-questionnaire!G125</f>
        <v>8</v>
      </c>
      <c r="H125" s="9">
        <f>8-questionnaire!H125</f>
        <v>8</v>
      </c>
      <c r="I125" s="9">
        <f>C125*10+D125*5+E125*1.66-(questionnaire!F125*1.66+questionnaire!G125*5+questionnaire!H125*10)</f>
        <v>0</v>
      </c>
    </row>
    <row r="126">
      <c r="A126" s="8" t="str">
        <f>questionnaire!A126</f>
        <v/>
      </c>
      <c r="B126" s="9" t="str">
        <f>questionnaire!B126</f>
        <v/>
      </c>
      <c r="C126" s="9" t="str">
        <f>questionnaire!C126</f>
        <v/>
      </c>
      <c r="D126" s="9" t="str">
        <f>questionnaire!D126</f>
        <v/>
      </c>
      <c r="E126" s="9" t="str">
        <f>questionnaire!E126</f>
        <v/>
      </c>
      <c r="F126" s="9">
        <f>8-questionnaire!F126</f>
        <v>8</v>
      </c>
      <c r="G126" s="9">
        <f>8-questionnaire!G126</f>
        <v>8</v>
      </c>
      <c r="H126" s="9">
        <f>8-questionnaire!H126</f>
        <v>8</v>
      </c>
      <c r="I126" s="9">
        <f>C126*10+D126*5+E126*1.66-(questionnaire!F126*1.66+questionnaire!G126*5+questionnaire!H126*10)</f>
        <v>0</v>
      </c>
    </row>
    <row r="127">
      <c r="A127" s="8" t="str">
        <f>questionnaire!A127</f>
        <v/>
      </c>
      <c r="B127" s="9" t="str">
        <f>questionnaire!B127</f>
        <v/>
      </c>
      <c r="C127" s="9" t="str">
        <f>questionnaire!C127</f>
        <v/>
      </c>
      <c r="D127" s="9" t="str">
        <f>questionnaire!D127</f>
        <v/>
      </c>
      <c r="E127" s="9" t="str">
        <f>questionnaire!E127</f>
        <v/>
      </c>
      <c r="F127" s="9">
        <f>8-questionnaire!F127</f>
        <v>8</v>
      </c>
      <c r="G127" s="9">
        <f>8-questionnaire!G127</f>
        <v>8</v>
      </c>
      <c r="H127" s="9">
        <f>8-questionnaire!H127</f>
        <v>8</v>
      </c>
      <c r="I127" s="9">
        <f>C127*10+D127*5+E127*1.66-(questionnaire!F127*1.66+questionnaire!G127*5+questionnaire!H127*10)</f>
        <v>0</v>
      </c>
    </row>
    <row r="128">
      <c r="A128" s="8" t="str">
        <f>questionnaire!A128</f>
        <v/>
      </c>
      <c r="B128" s="9" t="str">
        <f>questionnaire!B128</f>
        <v/>
      </c>
      <c r="C128" s="9" t="str">
        <f>questionnaire!C128</f>
        <v/>
      </c>
      <c r="D128" s="9" t="str">
        <f>questionnaire!D128</f>
        <v/>
      </c>
      <c r="E128" s="9" t="str">
        <f>questionnaire!E128</f>
        <v/>
      </c>
      <c r="F128" s="9">
        <f>8-questionnaire!F128</f>
        <v>8</v>
      </c>
      <c r="G128" s="9">
        <f>8-questionnaire!G128</f>
        <v>8</v>
      </c>
      <c r="H128" s="9">
        <f>8-questionnaire!H128</f>
        <v>8</v>
      </c>
      <c r="I128" s="9">
        <f>C128*10+D128*5+E128*1.66-(questionnaire!F128*1.66+questionnaire!G128*5+questionnaire!H128*10)</f>
        <v>0</v>
      </c>
    </row>
    <row r="129">
      <c r="A129" s="8" t="str">
        <f>questionnaire!A129</f>
        <v/>
      </c>
      <c r="B129" s="9" t="str">
        <f>questionnaire!B129</f>
        <v/>
      </c>
      <c r="C129" s="9" t="str">
        <f>questionnaire!C129</f>
        <v/>
      </c>
      <c r="D129" s="9" t="str">
        <f>questionnaire!D129</f>
        <v/>
      </c>
      <c r="E129" s="9" t="str">
        <f>questionnaire!E129</f>
        <v/>
      </c>
      <c r="F129" s="9">
        <f>8-questionnaire!F129</f>
        <v>8</v>
      </c>
      <c r="G129" s="9">
        <f>8-questionnaire!G129</f>
        <v>8</v>
      </c>
      <c r="H129" s="9">
        <f>8-questionnaire!H129</f>
        <v>8</v>
      </c>
      <c r="I129" s="9">
        <f>C129*10+D129*5+E129*1.66-(questionnaire!F129*1.66+questionnaire!G129*5+questionnaire!H129*10)</f>
        <v>0</v>
      </c>
    </row>
    <row r="130">
      <c r="A130" s="8" t="str">
        <f>questionnaire!A130</f>
        <v/>
      </c>
      <c r="B130" s="9" t="str">
        <f>questionnaire!B130</f>
        <v/>
      </c>
      <c r="C130" s="9" t="str">
        <f>questionnaire!C130</f>
        <v/>
      </c>
      <c r="D130" s="9" t="str">
        <f>questionnaire!D130</f>
        <v/>
      </c>
      <c r="E130" s="9" t="str">
        <f>questionnaire!E130</f>
        <v/>
      </c>
      <c r="F130" s="9">
        <f>8-questionnaire!F130</f>
        <v>8</v>
      </c>
      <c r="G130" s="9">
        <f>8-questionnaire!G130</f>
        <v>8</v>
      </c>
      <c r="H130" s="9">
        <f>8-questionnaire!H130</f>
        <v>8</v>
      </c>
      <c r="I130" s="9">
        <f>C130*10+D130*5+E130*1.66-(questionnaire!F130*1.66+questionnaire!G130*5+questionnaire!H130*10)</f>
        <v>0</v>
      </c>
    </row>
    <row r="131">
      <c r="A131" s="8" t="str">
        <f>questionnaire!A131</f>
        <v/>
      </c>
      <c r="B131" s="9" t="str">
        <f>questionnaire!B131</f>
        <v/>
      </c>
      <c r="C131" s="9" t="str">
        <f>questionnaire!C131</f>
        <v/>
      </c>
      <c r="D131" s="9" t="str">
        <f>questionnaire!D131</f>
        <v/>
      </c>
      <c r="E131" s="9" t="str">
        <f>questionnaire!E131</f>
        <v/>
      </c>
      <c r="F131" s="9">
        <f>8-questionnaire!F131</f>
        <v>8</v>
      </c>
      <c r="G131" s="9">
        <f>8-questionnaire!G131</f>
        <v>8</v>
      </c>
      <c r="H131" s="9">
        <f>8-questionnaire!H131</f>
        <v>8</v>
      </c>
      <c r="I131" s="9">
        <f>C131*10+D131*5+E131*1.66-(questionnaire!F131*1.66+questionnaire!G131*5+questionnaire!H131*10)</f>
        <v>0</v>
      </c>
    </row>
    <row r="132">
      <c r="A132" s="8" t="str">
        <f>questionnaire!A132</f>
        <v/>
      </c>
      <c r="B132" s="9" t="str">
        <f>questionnaire!B132</f>
        <v/>
      </c>
      <c r="C132" s="9" t="str">
        <f>questionnaire!C132</f>
        <v/>
      </c>
      <c r="D132" s="9" t="str">
        <f>questionnaire!D132</f>
        <v/>
      </c>
      <c r="E132" s="9" t="str">
        <f>questionnaire!E132</f>
        <v/>
      </c>
      <c r="F132" s="9">
        <f>8-questionnaire!F132</f>
        <v>8</v>
      </c>
      <c r="G132" s="9">
        <f>8-questionnaire!G132</f>
        <v>8</v>
      </c>
      <c r="H132" s="9">
        <f>8-questionnaire!H132</f>
        <v>8</v>
      </c>
      <c r="I132" s="9">
        <f>C132*10+D132*5+E132*1.66-(questionnaire!F132*1.66+questionnaire!G132*5+questionnaire!H132*10)</f>
        <v>0</v>
      </c>
    </row>
    <row r="133">
      <c r="A133" s="8" t="str">
        <f>questionnaire!A133</f>
        <v/>
      </c>
      <c r="B133" s="9" t="str">
        <f>questionnaire!B133</f>
        <v/>
      </c>
      <c r="C133" s="9" t="str">
        <f>questionnaire!C133</f>
        <v/>
      </c>
      <c r="D133" s="9" t="str">
        <f>questionnaire!D133</f>
        <v/>
      </c>
      <c r="E133" s="9" t="str">
        <f>questionnaire!E133</f>
        <v/>
      </c>
      <c r="F133" s="9">
        <f>8-questionnaire!F133</f>
        <v>8</v>
      </c>
      <c r="G133" s="9">
        <f>8-questionnaire!G133</f>
        <v>8</v>
      </c>
      <c r="H133" s="9">
        <f>8-questionnaire!H133</f>
        <v>8</v>
      </c>
      <c r="I133" s="9">
        <f>C133*10+D133*5+E133*1.66-(questionnaire!F133*1.66+questionnaire!G133*5+questionnaire!H133*10)</f>
        <v>0</v>
      </c>
    </row>
    <row r="134">
      <c r="A134" s="8" t="str">
        <f>questionnaire!A134</f>
        <v/>
      </c>
      <c r="B134" s="9" t="str">
        <f>questionnaire!B134</f>
        <v/>
      </c>
      <c r="C134" s="9" t="str">
        <f>questionnaire!C134</f>
        <v/>
      </c>
      <c r="D134" s="9" t="str">
        <f>questionnaire!D134</f>
        <v/>
      </c>
      <c r="E134" s="9" t="str">
        <f>questionnaire!E134</f>
        <v/>
      </c>
      <c r="F134" s="9">
        <f>8-questionnaire!F134</f>
        <v>8</v>
      </c>
      <c r="G134" s="9">
        <f>8-questionnaire!G134</f>
        <v>8</v>
      </c>
      <c r="H134" s="9">
        <f>8-questionnaire!H134</f>
        <v>8</v>
      </c>
      <c r="I134" s="9">
        <f>C134*10+D134*5+E134*1.66-(questionnaire!F134*1.66+questionnaire!G134*5+questionnaire!H134*10)</f>
        <v>0</v>
      </c>
    </row>
    <row r="135">
      <c r="A135" s="8" t="str">
        <f>questionnaire!A135</f>
        <v/>
      </c>
      <c r="B135" s="9" t="str">
        <f>questionnaire!B135</f>
        <v/>
      </c>
      <c r="C135" s="9" t="str">
        <f>questionnaire!C135</f>
        <v/>
      </c>
      <c r="D135" s="9" t="str">
        <f>questionnaire!D135</f>
        <v/>
      </c>
      <c r="E135" s="9" t="str">
        <f>questionnaire!E135</f>
        <v/>
      </c>
      <c r="F135" s="9">
        <f>8-questionnaire!F135</f>
        <v>8</v>
      </c>
      <c r="G135" s="9">
        <f>8-questionnaire!G135</f>
        <v>8</v>
      </c>
      <c r="H135" s="9">
        <f>8-questionnaire!H135</f>
        <v>8</v>
      </c>
      <c r="I135" s="9">
        <f>C135*10+D135*5+E135*1.66-(questionnaire!F135*1.66+questionnaire!G135*5+questionnaire!H135*10)</f>
        <v>0</v>
      </c>
    </row>
    <row r="136">
      <c r="A136" s="8" t="str">
        <f>questionnaire!A136</f>
        <v/>
      </c>
      <c r="B136" s="9" t="str">
        <f>questionnaire!B136</f>
        <v/>
      </c>
      <c r="C136" s="9" t="str">
        <f>questionnaire!C136</f>
        <v/>
      </c>
      <c r="D136" s="9" t="str">
        <f>questionnaire!D136</f>
        <v/>
      </c>
      <c r="E136" s="9" t="str">
        <f>questionnaire!E136</f>
        <v/>
      </c>
      <c r="F136" s="9">
        <f>8-questionnaire!F136</f>
        <v>8</v>
      </c>
      <c r="G136" s="9">
        <f>8-questionnaire!G136</f>
        <v>8</v>
      </c>
      <c r="H136" s="9">
        <f>8-questionnaire!H136</f>
        <v>8</v>
      </c>
      <c r="I136" s="9">
        <f>C136*10+D136*5+E136*1.66-(questionnaire!F136*1.66+questionnaire!G136*5+questionnaire!H136*10)</f>
        <v>0</v>
      </c>
    </row>
    <row r="137">
      <c r="A137" s="8" t="str">
        <f>questionnaire!A137</f>
        <v/>
      </c>
      <c r="B137" s="9" t="str">
        <f>questionnaire!B137</f>
        <v/>
      </c>
      <c r="C137" s="9" t="str">
        <f>questionnaire!C137</f>
        <v/>
      </c>
      <c r="D137" s="9" t="str">
        <f>questionnaire!D137</f>
        <v/>
      </c>
      <c r="E137" s="9" t="str">
        <f>questionnaire!E137</f>
        <v/>
      </c>
      <c r="F137" s="9">
        <f>8-questionnaire!F137</f>
        <v>8</v>
      </c>
      <c r="G137" s="9">
        <f>8-questionnaire!G137</f>
        <v>8</v>
      </c>
      <c r="H137" s="9">
        <f>8-questionnaire!H137</f>
        <v>8</v>
      </c>
      <c r="I137" s="9">
        <f>C137*10+D137*5+E137*1.66-(questionnaire!F137*1.66+questionnaire!G137*5+questionnaire!H137*10)</f>
        <v>0</v>
      </c>
    </row>
    <row r="138">
      <c r="A138" s="8" t="str">
        <f>questionnaire!A138</f>
        <v/>
      </c>
      <c r="B138" s="9" t="str">
        <f>questionnaire!B138</f>
        <v/>
      </c>
      <c r="C138" s="9" t="str">
        <f>questionnaire!C138</f>
        <v/>
      </c>
      <c r="D138" s="9" t="str">
        <f>questionnaire!D138</f>
        <v/>
      </c>
      <c r="E138" s="9" t="str">
        <f>questionnaire!E138</f>
        <v/>
      </c>
      <c r="F138" s="9">
        <f>8-questionnaire!F138</f>
        <v>8</v>
      </c>
      <c r="G138" s="9">
        <f>8-questionnaire!G138</f>
        <v>8</v>
      </c>
      <c r="H138" s="9">
        <f>8-questionnaire!H138</f>
        <v>8</v>
      </c>
      <c r="I138" s="9">
        <f>C138*10+D138*5+E138*1.66-(questionnaire!F138*1.66+questionnaire!G138*5+questionnaire!H138*10)</f>
        <v>0</v>
      </c>
    </row>
    <row r="139">
      <c r="A139" s="8" t="str">
        <f>questionnaire!A139</f>
        <v/>
      </c>
      <c r="B139" s="9" t="str">
        <f>questionnaire!B139</f>
        <v/>
      </c>
      <c r="C139" s="9" t="str">
        <f>questionnaire!C139</f>
        <v/>
      </c>
      <c r="D139" s="9" t="str">
        <f>questionnaire!D139</f>
        <v/>
      </c>
      <c r="E139" s="9" t="str">
        <f>questionnaire!E139</f>
        <v/>
      </c>
      <c r="F139" s="9">
        <f>8-questionnaire!F139</f>
        <v>8</v>
      </c>
      <c r="G139" s="9">
        <f>8-questionnaire!G139</f>
        <v>8</v>
      </c>
      <c r="H139" s="9">
        <f>8-questionnaire!H139</f>
        <v>8</v>
      </c>
      <c r="I139" s="9">
        <f>C139*10+D139*5+E139*1.66-(questionnaire!F139*1.66+questionnaire!G139*5+questionnaire!H139*10)</f>
        <v>0</v>
      </c>
    </row>
    <row r="140">
      <c r="A140" s="8" t="str">
        <f>questionnaire!A140</f>
        <v/>
      </c>
      <c r="B140" s="9" t="str">
        <f>questionnaire!B140</f>
        <v/>
      </c>
      <c r="C140" s="9" t="str">
        <f>questionnaire!C140</f>
        <v/>
      </c>
      <c r="D140" s="9" t="str">
        <f>questionnaire!D140</f>
        <v/>
      </c>
      <c r="E140" s="9" t="str">
        <f>questionnaire!E140</f>
        <v/>
      </c>
      <c r="F140" s="9">
        <f>8-questionnaire!F140</f>
        <v>8</v>
      </c>
      <c r="G140" s="9">
        <f>8-questionnaire!G140</f>
        <v>8</v>
      </c>
      <c r="H140" s="9">
        <f>8-questionnaire!H140</f>
        <v>8</v>
      </c>
      <c r="I140" s="9">
        <f>C140*10+D140*5+E140*1.66-(questionnaire!F140*1.66+questionnaire!G140*5+questionnaire!H140*10)</f>
        <v>0</v>
      </c>
    </row>
    <row r="141">
      <c r="A141" s="8" t="str">
        <f>questionnaire!A141</f>
        <v/>
      </c>
      <c r="B141" s="9" t="str">
        <f>questionnaire!B141</f>
        <v/>
      </c>
      <c r="C141" s="9" t="str">
        <f>questionnaire!C141</f>
        <v/>
      </c>
      <c r="D141" s="9" t="str">
        <f>questionnaire!D141</f>
        <v/>
      </c>
      <c r="E141" s="9" t="str">
        <f>questionnaire!E141</f>
        <v/>
      </c>
      <c r="F141" s="9">
        <f>8-questionnaire!F141</f>
        <v>8</v>
      </c>
      <c r="G141" s="9">
        <f>8-questionnaire!G141</f>
        <v>8</v>
      </c>
      <c r="H141" s="9">
        <f>8-questionnaire!H141</f>
        <v>8</v>
      </c>
      <c r="I141" s="9">
        <f>C141*10+D141*5+E141*1.66-(questionnaire!F141*1.66+questionnaire!G141*5+questionnaire!H141*10)</f>
        <v>0</v>
      </c>
    </row>
    <row r="142">
      <c r="A142" s="8" t="str">
        <f>questionnaire!A142</f>
        <v/>
      </c>
      <c r="B142" s="9" t="str">
        <f>questionnaire!B142</f>
        <v/>
      </c>
      <c r="C142" s="9" t="str">
        <f>questionnaire!C142</f>
        <v/>
      </c>
      <c r="D142" s="9" t="str">
        <f>questionnaire!D142</f>
        <v/>
      </c>
      <c r="E142" s="9" t="str">
        <f>questionnaire!E142</f>
        <v/>
      </c>
      <c r="F142" s="9">
        <f>8-questionnaire!F142</f>
        <v>8</v>
      </c>
      <c r="G142" s="9">
        <f>8-questionnaire!G142</f>
        <v>8</v>
      </c>
      <c r="H142" s="9">
        <f>8-questionnaire!H142</f>
        <v>8</v>
      </c>
      <c r="I142" s="9">
        <f>C142*10+D142*5+E142*1.66-(questionnaire!F142*1.66+questionnaire!G142*5+questionnaire!H142*10)</f>
        <v>0</v>
      </c>
    </row>
    <row r="143">
      <c r="A143" s="8" t="str">
        <f>questionnaire!A143</f>
        <v/>
      </c>
      <c r="B143" s="9" t="str">
        <f>questionnaire!B143</f>
        <v/>
      </c>
      <c r="C143" s="9" t="str">
        <f>questionnaire!C143</f>
        <v/>
      </c>
      <c r="D143" s="9" t="str">
        <f>questionnaire!D143</f>
        <v/>
      </c>
      <c r="E143" s="9" t="str">
        <f>questionnaire!E143</f>
        <v/>
      </c>
      <c r="F143" s="9">
        <f>8-questionnaire!F143</f>
        <v>8</v>
      </c>
      <c r="G143" s="9">
        <f>8-questionnaire!G143</f>
        <v>8</v>
      </c>
      <c r="H143" s="9">
        <f>8-questionnaire!H143</f>
        <v>8</v>
      </c>
      <c r="I143" s="9">
        <f>C143*10+D143*5+E143*1.66-(questionnaire!F143*1.66+questionnaire!G143*5+questionnaire!H143*10)</f>
        <v>0</v>
      </c>
    </row>
    <row r="144">
      <c r="A144" s="8" t="str">
        <f>questionnaire!A144</f>
        <v/>
      </c>
      <c r="B144" s="9" t="str">
        <f>questionnaire!B144</f>
        <v/>
      </c>
      <c r="C144" s="9" t="str">
        <f>questionnaire!C144</f>
        <v/>
      </c>
      <c r="D144" s="9" t="str">
        <f>questionnaire!D144</f>
        <v/>
      </c>
      <c r="E144" s="9" t="str">
        <f>questionnaire!E144</f>
        <v/>
      </c>
      <c r="F144" s="9">
        <f>8-questionnaire!F144</f>
        <v>8</v>
      </c>
      <c r="G144" s="9">
        <f>8-questionnaire!G144</f>
        <v>8</v>
      </c>
      <c r="H144" s="9">
        <f>8-questionnaire!H144</f>
        <v>8</v>
      </c>
      <c r="I144" s="9">
        <f>C144*10+D144*5+E144*1.66-(questionnaire!F144*1.66+questionnaire!G144*5+questionnaire!H144*10)</f>
        <v>0</v>
      </c>
    </row>
    <row r="145">
      <c r="A145" s="8" t="str">
        <f>questionnaire!A145</f>
        <v/>
      </c>
      <c r="B145" s="9" t="str">
        <f>questionnaire!B145</f>
        <v/>
      </c>
      <c r="C145" s="9" t="str">
        <f>questionnaire!C145</f>
        <v/>
      </c>
      <c r="D145" s="9" t="str">
        <f>questionnaire!D145</f>
        <v/>
      </c>
      <c r="E145" s="9" t="str">
        <f>questionnaire!E145</f>
        <v/>
      </c>
      <c r="F145" s="9">
        <f>8-questionnaire!F145</f>
        <v>8</v>
      </c>
      <c r="G145" s="9">
        <f>8-questionnaire!G145</f>
        <v>8</v>
      </c>
      <c r="H145" s="9">
        <f>8-questionnaire!H145</f>
        <v>8</v>
      </c>
      <c r="I145" s="9">
        <f>C145*10+D145*5+E145*1.66-(questionnaire!F145*1.66+questionnaire!G145*5+questionnaire!H145*10)</f>
        <v>0</v>
      </c>
    </row>
    <row r="146">
      <c r="A146" s="8" t="str">
        <f>questionnaire!A146</f>
        <v/>
      </c>
      <c r="B146" s="9" t="str">
        <f>questionnaire!B146</f>
        <v/>
      </c>
      <c r="C146" s="9" t="str">
        <f>questionnaire!C146</f>
        <v/>
      </c>
      <c r="D146" s="9" t="str">
        <f>questionnaire!D146</f>
        <v/>
      </c>
      <c r="E146" s="9" t="str">
        <f>questionnaire!E146</f>
        <v/>
      </c>
      <c r="F146" s="9">
        <f>8-questionnaire!F146</f>
        <v>8</v>
      </c>
      <c r="G146" s="9">
        <f>8-questionnaire!G146</f>
        <v>8</v>
      </c>
      <c r="H146" s="9">
        <f>8-questionnaire!H146</f>
        <v>8</v>
      </c>
      <c r="I146" s="9">
        <f>C146*10+D146*5+E146*1.66-(questionnaire!F146*1.66+questionnaire!G146*5+questionnaire!H146*10)</f>
        <v>0</v>
      </c>
    </row>
    <row r="147">
      <c r="A147" s="8" t="str">
        <f>questionnaire!A147</f>
        <v/>
      </c>
      <c r="B147" s="9" t="str">
        <f>questionnaire!B147</f>
        <v/>
      </c>
      <c r="C147" s="9" t="str">
        <f>questionnaire!C147</f>
        <v/>
      </c>
      <c r="D147" s="9" t="str">
        <f>questionnaire!D147</f>
        <v/>
      </c>
      <c r="E147" s="9" t="str">
        <f>questionnaire!E147</f>
        <v/>
      </c>
      <c r="F147" s="9">
        <f>8-questionnaire!F147</f>
        <v>8</v>
      </c>
      <c r="G147" s="9">
        <f>8-questionnaire!G147</f>
        <v>8</v>
      </c>
      <c r="H147" s="9">
        <f>8-questionnaire!H147</f>
        <v>8</v>
      </c>
      <c r="I147" s="9">
        <f>C147*10+D147*5+E147*1.66-(questionnaire!F147*1.66+questionnaire!G147*5+questionnaire!H147*10)</f>
        <v>0</v>
      </c>
    </row>
    <row r="148">
      <c r="A148" s="8" t="str">
        <f>questionnaire!A148</f>
        <v/>
      </c>
      <c r="B148" s="9" t="str">
        <f>questionnaire!B148</f>
        <v/>
      </c>
      <c r="C148" s="9" t="str">
        <f>questionnaire!C148</f>
        <v/>
      </c>
      <c r="D148" s="9" t="str">
        <f>questionnaire!D148</f>
        <v/>
      </c>
      <c r="E148" s="9" t="str">
        <f>questionnaire!E148</f>
        <v/>
      </c>
      <c r="F148" s="9">
        <f>8-questionnaire!F148</f>
        <v>8</v>
      </c>
      <c r="G148" s="9">
        <f>8-questionnaire!G148</f>
        <v>8</v>
      </c>
      <c r="H148" s="9">
        <f>8-questionnaire!H148</f>
        <v>8</v>
      </c>
      <c r="I148" s="9">
        <f>C148*10+D148*5+E148*1.66-(questionnaire!F148*1.66+questionnaire!G148*5+questionnaire!H148*10)</f>
        <v>0</v>
      </c>
    </row>
    <row r="149">
      <c r="A149" s="8" t="str">
        <f>questionnaire!A149</f>
        <v/>
      </c>
      <c r="B149" s="9" t="str">
        <f>questionnaire!B149</f>
        <v/>
      </c>
      <c r="C149" s="9" t="str">
        <f>questionnaire!C149</f>
        <v/>
      </c>
      <c r="D149" s="9" t="str">
        <f>questionnaire!D149</f>
        <v/>
      </c>
      <c r="E149" s="9" t="str">
        <f>questionnaire!E149</f>
        <v/>
      </c>
      <c r="F149" s="9">
        <f>8-questionnaire!F149</f>
        <v>8</v>
      </c>
      <c r="G149" s="9">
        <f>8-questionnaire!G149</f>
        <v>8</v>
      </c>
      <c r="H149" s="9">
        <f>8-questionnaire!H149</f>
        <v>8</v>
      </c>
      <c r="I149" s="9">
        <f>C149*10+D149*5+E149*1.66-(questionnaire!F149*1.66+questionnaire!G149*5+questionnaire!H149*10)</f>
        <v>0</v>
      </c>
    </row>
    <row r="150">
      <c r="A150" s="8" t="str">
        <f>questionnaire!A150</f>
        <v/>
      </c>
      <c r="B150" s="9" t="str">
        <f>questionnaire!B150</f>
        <v/>
      </c>
      <c r="C150" s="9" t="str">
        <f>questionnaire!C150</f>
        <v/>
      </c>
      <c r="D150" s="9" t="str">
        <f>questionnaire!D150</f>
        <v/>
      </c>
      <c r="E150" s="9" t="str">
        <f>questionnaire!E150</f>
        <v/>
      </c>
      <c r="F150" s="9">
        <f>8-questionnaire!F150</f>
        <v>8</v>
      </c>
      <c r="G150" s="9">
        <f>8-questionnaire!G150</f>
        <v>8</v>
      </c>
      <c r="H150" s="9">
        <f>8-questionnaire!H150</f>
        <v>8</v>
      </c>
      <c r="I150" s="9">
        <f>C150*10+D150*5+E150*1.66-(questionnaire!F150*1.66+questionnaire!G150*5+questionnaire!H150*10)</f>
        <v>0</v>
      </c>
    </row>
    <row r="151">
      <c r="A151" s="8" t="str">
        <f>questionnaire!A151</f>
        <v/>
      </c>
      <c r="B151" s="9" t="str">
        <f>questionnaire!B151</f>
        <v/>
      </c>
      <c r="C151" s="9" t="str">
        <f>questionnaire!C151</f>
        <v/>
      </c>
      <c r="D151" s="9" t="str">
        <f>questionnaire!D151</f>
        <v/>
      </c>
      <c r="E151" s="9" t="str">
        <f>questionnaire!E151</f>
        <v/>
      </c>
      <c r="F151" s="9">
        <f>8-questionnaire!F151</f>
        <v>8</v>
      </c>
      <c r="G151" s="9">
        <f>8-questionnaire!G151</f>
        <v>8</v>
      </c>
      <c r="H151" s="9">
        <f>8-questionnaire!H151</f>
        <v>8</v>
      </c>
      <c r="I151" s="9">
        <f>C151*10+D151*5+E151*1.66-(questionnaire!F151*1.66+questionnaire!G151*5+questionnaire!H151*10)</f>
        <v>0</v>
      </c>
    </row>
    <row r="152">
      <c r="A152" s="8" t="str">
        <f>questionnaire!A152</f>
        <v/>
      </c>
      <c r="B152" s="9" t="str">
        <f>questionnaire!B152</f>
        <v/>
      </c>
      <c r="C152" s="9" t="str">
        <f>questionnaire!C152</f>
        <v/>
      </c>
      <c r="D152" s="9" t="str">
        <f>questionnaire!D152</f>
        <v/>
      </c>
      <c r="E152" s="9" t="str">
        <f>questionnaire!E152</f>
        <v/>
      </c>
      <c r="F152" s="9">
        <f>8-questionnaire!F152</f>
        <v>8</v>
      </c>
      <c r="G152" s="9">
        <f>8-questionnaire!G152</f>
        <v>8</v>
      </c>
      <c r="H152" s="9">
        <f>8-questionnaire!H152</f>
        <v>8</v>
      </c>
      <c r="I152" s="9">
        <f>C152*10+D152*5+E152*1.66-(questionnaire!F152*1.66+questionnaire!G152*5+questionnaire!H152*10)</f>
        <v>0</v>
      </c>
    </row>
    <row r="153">
      <c r="A153" s="8" t="str">
        <f>questionnaire!A153</f>
        <v/>
      </c>
      <c r="B153" s="9" t="str">
        <f>questionnaire!B153</f>
        <v/>
      </c>
      <c r="C153" s="9" t="str">
        <f>questionnaire!C153</f>
        <v/>
      </c>
      <c r="D153" s="9" t="str">
        <f>questionnaire!D153</f>
        <v/>
      </c>
      <c r="E153" s="9" t="str">
        <f>questionnaire!E153</f>
        <v/>
      </c>
      <c r="F153" s="9">
        <f>8-questionnaire!F153</f>
        <v>8</v>
      </c>
      <c r="G153" s="9">
        <f>8-questionnaire!G153</f>
        <v>8</v>
      </c>
      <c r="H153" s="9">
        <f>8-questionnaire!H153</f>
        <v>8</v>
      </c>
      <c r="I153" s="9">
        <f>C153*10+D153*5+E153*1.66-(questionnaire!F153*1.66+questionnaire!G153*5+questionnaire!H153*10)</f>
        <v>0</v>
      </c>
    </row>
    <row r="154">
      <c r="A154" s="8" t="str">
        <f>questionnaire!A154</f>
        <v/>
      </c>
      <c r="B154" s="9" t="str">
        <f>questionnaire!B154</f>
        <v/>
      </c>
      <c r="C154" s="9" t="str">
        <f>questionnaire!C154</f>
        <v/>
      </c>
      <c r="D154" s="9" t="str">
        <f>questionnaire!D154</f>
        <v/>
      </c>
      <c r="E154" s="9" t="str">
        <f>questionnaire!E154</f>
        <v/>
      </c>
      <c r="F154" s="9">
        <f>8-questionnaire!F154</f>
        <v>8</v>
      </c>
      <c r="G154" s="9">
        <f>8-questionnaire!G154</f>
        <v>8</v>
      </c>
      <c r="H154" s="9">
        <f>8-questionnaire!H154</f>
        <v>8</v>
      </c>
      <c r="I154" s="9">
        <f>C154*10+D154*5+E154*1.66-(questionnaire!F154*1.66+questionnaire!G154*5+questionnaire!H154*10)</f>
        <v>0</v>
      </c>
    </row>
    <row r="155">
      <c r="A155" s="8" t="str">
        <f>questionnaire!A155</f>
        <v/>
      </c>
      <c r="B155" s="9" t="str">
        <f>questionnaire!B155</f>
        <v/>
      </c>
      <c r="C155" s="9" t="str">
        <f>questionnaire!C155</f>
        <v/>
      </c>
      <c r="D155" s="9" t="str">
        <f>questionnaire!D155</f>
        <v/>
      </c>
      <c r="E155" s="9" t="str">
        <f>questionnaire!E155</f>
        <v/>
      </c>
      <c r="F155" s="9">
        <f>8-questionnaire!F155</f>
        <v>8</v>
      </c>
      <c r="G155" s="9">
        <f>8-questionnaire!G155</f>
        <v>8</v>
      </c>
      <c r="H155" s="9">
        <f>8-questionnaire!H155</f>
        <v>8</v>
      </c>
      <c r="I155" s="9">
        <f>C155*10+D155*5+E155*1.66-(questionnaire!F155*1.66+questionnaire!G155*5+questionnaire!H155*10)</f>
        <v>0</v>
      </c>
    </row>
    <row r="156">
      <c r="A156" s="8" t="str">
        <f>questionnaire!A156</f>
        <v/>
      </c>
      <c r="B156" s="9" t="str">
        <f>questionnaire!B156</f>
        <v/>
      </c>
      <c r="C156" s="9" t="str">
        <f>questionnaire!C156</f>
        <v/>
      </c>
      <c r="D156" s="9" t="str">
        <f>questionnaire!D156</f>
        <v/>
      </c>
      <c r="E156" s="9" t="str">
        <f>questionnaire!E156</f>
        <v/>
      </c>
      <c r="F156" s="9">
        <f>8-questionnaire!F156</f>
        <v>8</v>
      </c>
      <c r="G156" s="9">
        <f>8-questionnaire!G156</f>
        <v>8</v>
      </c>
      <c r="H156" s="9">
        <f>8-questionnaire!H156</f>
        <v>8</v>
      </c>
      <c r="I156" s="9">
        <f>C156*10+D156*5+E156*1.66-(questionnaire!F156*1.66+questionnaire!G156*5+questionnaire!H156*10)</f>
        <v>0</v>
      </c>
    </row>
    <row r="157">
      <c r="A157" s="8" t="str">
        <f>questionnaire!A157</f>
        <v/>
      </c>
      <c r="B157" s="9" t="str">
        <f>questionnaire!B157</f>
        <v/>
      </c>
      <c r="C157" s="9" t="str">
        <f>questionnaire!C157</f>
        <v/>
      </c>
      <c r="D157" s="9" t="str">
        <f>questionnaire!D157</f>
        <v/>
      </c>
      <c r="E157" s="9" t="str">
        <f>questionnaire!E157</f>
        <v/>
      </c>
      <c r="F157" s="9">
        <f>8-questionnaire!F157</f>
        <v>8</v>
      </c>
      <c r="G157" s="9">
        <f>8-questionnaire!G157</f>
        <v>8</v>
      </c>
      <c r="H157" s="9">
        <f>8-questionnaire!H157</f>
        <v>8</v>
      </c>
      <c r="I157" s="9">
        <f>C157*10+D157*5+E157*1.66-(questionnaire!F157*1.66+questionnaire!G157*5+questionnaire!H157*10)</f>
        <v>0</v>
      </c>
    </row>
    <row r="158">
      <c r="A158" s="8" t="str">
        <f>questionnaire!A158</f>
        <v/>
      </c>
      <c r="B158" s="9" t="str">
        <f>questionnaire!B158</f>
        <v/>
      </c>
      <c r="C158" s="9" t="str">
        <f>questionnaire!C158</f>
        <v/>
      </c>
      <c r="D158" s="9" t="str">
        <f>questionnaire!D158</f>
        <v/>
      </c>
      <c r="E158" s="9" t="str">
        <f>questionnaire!E158</f>
        <v/>
      </c>
      <c r="F158" s="9">
        <f>8-questionnaire!F158</f>
        <v>8</v>
      </c>
      <c r="G158" s="9">
        <f>8-questionnaire!G158</f>
        <v>8</v>
      </c>
      <c r="H158" s="9">
        <f>8-questionnaire!H158</f>
        <v>8</v>
      </c>
      <c r="I158" s="9">
        <f>C158*10+D158*5+E158*1.66-(questionnaire!F158*1.66+questionnaire!G158*5+questionnaire!H158*10)</f>
        <v>0</v>
      </c>
    </row>
    <row r="159">
      <c r="A159" s="8" t="str">
        <f>questionnaire!A159</f>
        <v/>
      </c>
      <c r="B159" s="9" t="str">
        <f>questionnaire!B159</f>
        <v/>
      </c>
      <c r="C159" s="9" t="str">
        <f>questionnaire!C159</f>
        <v/>
      </c>
      <c r="D159" s="9" t="str">
        <f>questionnaire!D159</f>
        <v/>
      </c>
      <c r="E159" s="9" t="str">
        <f>questionnaire!E159</f>
        <v/>
      </c>
      <c r="F159" s="9">
        <f>8-questionnaire!F159</f>
        <v>8</v>
      </c>
      <c r="G159" s="9">
        <f>8-questionnaire!G159</f>
        <v>8</v>
      </c>
      <c r="H159" s="9">
        <f>8-questionnaire!H159</f>
        <v>8</v>
      </c>
      <c r="I159" s="9">
        <f>C159*10+D159*5+E159*1.66-(questionnaire!F159*1.66+questionnaire!G159*5+questionnaire!H159*10)</f>
        <v>0</v>
      </c>
    </row>
    <row r="160">
      <c r="A160" s="8" t="str">
        <f>questionnaire!A160</f>
        <v/>
      </c>
      <c r="B160" s="9" t="str">
        <f>questionnaire!B160</f>
        <v/>
      </c>
      <c r="C160" s="9" t="str">
        <f>questionnaire!C160</f>
        <v/>
      </c>
      <c r="D160" s="9" t="str">
        <f>questionnaire!D160</f>
        <v/>
      </c>
      <c r="E160" s="9" t="str">
        <f>questionnaire!E160</f>
        <v/>
      </c>
      <c r="F160" s="9">
        <f>8-questionnaire!F160</f>
        <v>8</v>
      </c>
      <c r="G160" s="9">
        <f>8-questionnaire!G160</f>
        <v>8</v>
      </c>
      <c r="H160" s="9">
        <f>8-questionnaire!H160</f>
        <v>8</v>
      </c>
      <c r="I160" s="9">
        <f>C160*10+D160*5+E160*1.66-(questionnaire!F160*1.66+questionnaire!G160*5+questionnaire!H160*10)</f>
        <v>0</v>
      </c>
    </row>
    <row r="161">
      <c r="A161" s="8" t="str">
        <f>questionnaire!A161</f>
        <v/>
      </c>
      <c r="B161" s="9" t="str">
        <f>questionnaire!B161</f>
        <v/>
      </c>
      <c r="C161" s="9" t="str">
        <f>questionnaire!C161</f>
        <v/>
      </c>
      <c r="D161" s="9" t="str">
        <f>questionnaire!D161</f>
        <v/>
      </c>
      <c r="E161" s="9" t="str">
        <f>questionnaire!E161</f>
        <v/>
      </c>
      <c r="F161" s="9">
        <f>8-questionnaire!F161</f>
        <v>8</v>
      </c>
      <c r="G161" s="9">
        <f>8-questionnaire!G161</f>
        <v>8</v>
      </c>
      <c r="H161" s="9">
        <f>8-questionnaire!H161</f>
        <v>8</v>
      </c>
      <c r="I161" s="9">
        <f>C161*10+D161*5+E161*1.66-(questionnaire!F161*1.66+questionnaire!G161*5+questionnaire!H161*10)</f>
        <v>0</v>
      </c>
    </row>
    <row r="162">
      <c r="A162" s="8" t="str">
        <f>questionnaire!A162</f>
        <v/>
      </c>
      <c r="B162" s="9" t="str">
        <f>questionnaire!B162</f>
        <v/>
      </c>
      <c r="C162" s="9" t="str">
        <f>questionnaire!C162</f>
        <v/>
      </c>
      <c r="D162" s="9" t="str">
        <f>questionnaire!D162</f>
        <v/>
      </c>
      <c r="E162" s="9" t="str">
        <f>questionnaire!E162</f>
        <v/>
      </c>
      <c r="F162" s="9">
        <f>8-questionnaire!F162</f>
        <v>8</v>
      </c>
      <c r="G162" s="9">
        <f>8-questionnaire!G162</f>
        <v>8</v>
      </c>
      <c r="H162" s="9">
        <f>8-questionnaire!H162</f>
        <v>8</v>
      </c>
      <c r="I162" s="9">
        <f>C162*10+D162*5+E162*1.66-(questionnaire!F162*1.66+questionnaire!G162*5+questionnaire!H162*10)</f>
        <v>0</v>
      </c>
    </row>
    <row r="163">
      <c r="A163" s="8" t="str">
        <f>questionnaire!A163</f>
        <v/>
      </c>
      <c r="B163" s="9" t="str">
        <f>questionnaire!B163</f>
        <v/>
      </c>
      <c r="C163" s="9" t="str">
        <f>questionnaire!C163</f>
        <v/>
      </c>
      <c r="D163" s="9" t="str">
        <f>questionnaire!D163</f>
        <v/>
      </c>
      <c r="E163" s="9" t="str">
        <f>questionnaire!E163</f>
        <v/>
      </c>
      <c r="F163" s="9">
        <f>8-questionnaire!F163</f>
        <v>8</v>
      </c>
      <c r="G163" s="9">
        <f>8-questionnaire!G163</f>
        <v>8</v>
      </c>
      <c r="H163" s="9">
        <f>8-questionnaire!H163</f>
        <v>8</v>
      </c>
      <c r="I163" s="9">
        <f>C163*10+D163*5+E163*1.66-(questionnaire!F163*1.66+questionnaire!G163*5+questionnaire!H163*10)</f>
        <v>0</v>
      </c>
    </row>
    <row r="164">
      <c r="A164" s="8" t="str">
        <f>questionnaire!A164</f>
        <v/>
      </c>
      <c r="B164" s="9" t="str">
        <f>questionnaire!B164</f>
        <v/>
      </c>
      <c r="C164" s="9" t="str">
        <f>questionnaire!C164</f>
        <v/>
      </c>
      <c r="D164" s="9" t="str">
        <f>questionnaire!D164</f>
        <v/>
      </c>
      <c r="E164" s="9" t="str">
        <f>questionnaire!E164</f>
        <v/>
      </c>
      <c r="F164" s="9">
        <f>8-questionnaire!F164</f>
        <v>8</v>
      </c>
      <c r="G164" s="9">
        <f>8-questionnaire!G164</f>
        <v>8</v>
      </c>
      <c r="H164" s="9">
        <f>8-questionnaire!H164</f>
        <v>8</v>
      </c>
      <c r="I164" s="9">
        <f>C164*10+D164*5+E164*1.66-(questionnaire!F164*1.66+questionnaire!G164*5+questionnaire!H164*10)</f>
        <v>0</v>
      </c>
    </row>
    <row r="165">
      <c r="A165" s="8" t="str">
        <f>questionnaire!A165</f>
        <v/>
      </c>
      <c r="B165" s="9" t="str">
        <f>questionnaire!B165</f>
        <v/>
      </c>
      <c r="C165" s="9" t="str">
        <f>questionnaire!C165</f>
        <v/>
      </c>
      <c r="D165" s="9" t="str">
        <f>questionnaire!D165</f>
        <v/>
      </c>
      <c r="E165" s="9" t="str">
        <f>questionnaire!E165</f>
        <v/>
      </c>
      <c r="F165" s="9">
        <f>8-questionnaire!F165</f>
        <v>8</v>
      </c>
      <c r="G165" s="9">
        <f>8-questionnaire!G165</f>
        <v>8</v>
      </c>
      <c r="H165" s="9">
        <f>8-questionnaire!H165</f>
        <v>8</v>
      </c>
      <c r="I165" s="9">
        <f>C165*10+D165*5+E165*1.66-(questionnaire!F165*1.66+questionnaire!G165*5+questionnaire!H165*10)</f>
        <v>0</v>
      </c>
    </row>
    <row r="166">
      <c r="A166" s="8" t="str">
        <f>questionnaire!A166</f>
        <v/>
      </c>
      <c r="B166" s="9" t="str">
        <f>questionnaire!B166</f>
        <v/>
      </c>
      <c r="C166" s="9" t="str">
        <f>questionnaire!C166</f>
        <v/>
      </c>
      <c r="D166" s="9" t="str">
        <f>questionnaire!D166</f>
        <v/>
      </c>
      <c r="E166" s="9" t="str">
        <f>questionnaire!E166</f>
        <v/>
      </c>
      <c r="F166" s="9">
        <f>8-questionnaire!F166</f>
        <v>8</v>
      </c>
      <c r="G166" s="9">
        <f>8-questionnaire!G166</f>
        <v>8</v>
      </c>
      <c r="H166" s="9">
        <f>8-questionnaire!H166</f>
        <v>8</v>
      </c>
      <c r="I166" s="9">
        <f>C166*10+D166*5+E166*1.66-(questionnaire!F166*1.66+questionnaire!G166*5+questionnaire!H166*10)</f>
        <v>0</v>
      </c>
    </row>
    <row r="167">
      <c r="A167" s="8" t="str">
        <f>questionnaire!A167</f>
        <v/>
      </c>
      <c r="B167" s="9" t="str">
        <f>questionnaire!B167</f>
        <v/>
      </c>
      <c r="C167" s="9" t="str">
        <f>questionnaire!C167</f>
        <v/>
      </c>
      <c r="D167" s="9" t="str">
        <f>questionnaire!D167</f>
        <v/>
      </c>
      <c r="E167" s="9" t="str">
        <f>questionnaire!E167</f>
        <v/>
      </c>
      <c r="F167" s="9">
        <f>8-questionnaire!F167</f>
        <v>8</v>
      </c>
      <c r="G167" s="9">
        <f>8-questionnaire!G167</f>
        <v>8</v>
      </c>
      <c r="H167" s="9">
        <f>8-questionnaire!H167</f>
        <v>8</v>
      </c>
      <c r="I167" s="9">
        <f>C167*10+D167*5+E167*1.66-(questionnaire!F167*1.66+questionnaire!G167*5+questionnaire!H167*10)</f>
        <v>0</v>
      </c>
    </row>
    <row r="168">
      <c r="A168" s="8" t="str">
        <f>questionnaire!A168</f>
        <v/>
      </c>
      <c r="B168" s="9" t="str">
        <f>questionnaire!B168</f>
        <v/>
      </c>
      <c r="C168" s="9" t="str">
        <f>questionnaire!C168</f>
        <v/>
      </c>
      <c r="D168" s="9" t="str">
        <f>questionnaire!D168</f>
        <v/>
      </c>
      <c r="E168" s="9" t="str">
        <f>questionnaire!E168</f>
        <v/>
      </c>
      <c r="F168" s="9">
        <f>8-questionnaire!F168</f>
        <v>8</v>
      </c>
      <c r="G168" s="9">
        <f>8-questionnaire!G168</f>
        <v>8</v>
      </c>
      <c r="H168" s="9">
        <f>8-questionnaire!H168</f>
        <v>8</v>
      </c>
      <c r="I168" s="9">
        <f>C168*10+D168*5+E168*1.66-(questionnaire!F168*1.66+questionnaire!G168*5+questionnaire!H168*10)</f>
        <v>0</v>
      </c>
    </row>
    <row r="169">
      <c r="A169" s="8" t="str">
        <f>questionnaire!A169</f>
        <v/>
      </c>
      <c r="B169" s="9" t="str">
        <f>questionnaire!B169</f>
        <v/>
      </c>
      <c r="C169" s="9" t="str">
        <f>questionnaire!C169</f>
        <v/>
      </c>
      <c r="D169" s="9" t="str">
        <f>questionnaire!D169</f>
        <v/>
      </c>
      <c r="E169" s="9" t="str">
        <f>questionnaire!E169</f>
        <v/>
      </c>
      <c r="F169" s="9">
        <f>8-questionnaire!F169</f>
        <v>8</v>
      </c>
      <c r="G169" s="9">
        <f>8-questionnaire!G169</f>
        <v>8</v>
      </c>
      <c r="H169" s="9">
        <f>8-questionnaire!H169</f>
        <v>8</v>
      </c>
      <c r="I169" s="9">
        <f>C169*10+D169*5+E169*1.66-(questionnaire!F169*1.66+questionnaire!G169*5+questionnaire!H169*10)</f>
        <v>0</v>
      </c>
    </row>
    <row r="170">
      <c r="A170" s="8" t="str">
        <f>questionnaire!A170</f>
        <v/>
      </c>
      <c r="B170" s="9" t="str">
        <f>questionnaire!B170</f>
        <v/>
      </c>
      <c r="C170" s="9" t="str">
        <f>questionnaire!C170</f>
        <v/>
      </c>
      <c r="D170" s="9" t="str">
        <f>questionnaire!D170</f>
        <v/>
      </c>
      <c r="E170" s="9" t="str">
        <f>questionnaire!E170</f>
        <v/>
      </c>
      <c r="F170" s="9">
        <f>8-questionnaire!F170</f>
        <v>8</v>
      </c>
      <c r="G170" s="9">
        <f>8-questionnaire!G170</f>
        <v>8</v>
      </c>
      <c r="H170" s="9">
        <f>8-questionnaire!H170</f>
        <v>8</v>
      </c>
      <c r="I170" s="9">
        <f>C170*10+D170*5+E170*1.66-(questionnaire!F170*1.66+questionnaire!G170*5+questionnaire!H170*10)</f>
        <v>0</v>
      </c>
    </row>
    <row r="171">
      <c r="A171" s="8" t="str">
        <f>questionnaire!A171</f>
        <v/>
      </c>
      <c r="B171" s="9" t="str">
        <f>questionnaire!B171</f>
        <v/>
      </c>
      <c r="C171" s="9" t="str">
        <f>questionnaire!C171</f>
        <v/>
      </c>
      <c r="D171" s="9" t="str">
        <f>questionnaire!D171</f>
        <v/>
      </c>
      <c r="E171" s="9" t="str">
        <f>questionnaire!E171</f>
        <v/>
      </c>
      <c r="F171" s="9">
        <f>8-questionnaire!F171</f>
        <v>8</v>
      </c>
      <c r="G171" s="9">
        <f>8-questionnaire!G171</f>
        <v>8</v>
      </c>
      <c r="H171" s="9">
        <f>8-questionnaire!H171</f>
        <v>8</v>
      </c>
      <c r="I171" s="9">
        <f>C171*10+D171*5+E171*1.66-(questionnaire!F171*1.66+questionnaire!G171*5+questionnaire!H171*10)</f>
        <v>0</v>
      </c>
    </row>
    <row r="172">
      <c r="A172" s="8" t="str">
        <f>questionnaire!A172</f>
        <v/>
      </c>
      <c r="B172" s="9" t="str">
        <f>questionnaire!B172</f>
        <v/>
      </c>
      <c r="C172" s="9" t="str">
        <f>questionnaire!C172</f>
        <v/>
      </c>
      <c r="D172" s="9" t="str">
        <f>questionnaire!D172</f>
        <v/>
      </c>
      <c r="E172" s="9" t="str">
        <f>questionnaire!E172</f>
        <v/>
      </c>
      <c r="F172" s="9">
        <f>8-questionnaire!F172</f>
        <v>8</v>
      </c>
      <c r="G172" s="9">
        <f>8-questionnaire!G172</f>
        <v>8</v>
      </c>
      <c r="H172" s="9">
        <f>8-questionnaire!H172</f>
        <v>8</v>
      </c>
      <c r="I172" s="9">
        <f>C172*10+D172*5+E172*1.66-(questionnaire!F172*1.66+questionnaire!G172*5+questionnaire!H172*10)</f>
        <v>0</v>
      </c>
    </row>
    <row r="173">
      <c r="A173" s="8" t="str">
        <f>questionnaire!A173</f>
        <v/>
      </c>
      <c r="B173" s="9" t="str">
        <f>questionnaire!B173</f>
        <v/>
      </c>
      <c r="C173" s="9" t="str">
        <f>questionnaire!C173</f>
        <v/>
      </c>
      <c r="D173" s="9" t="str">
        <f>questionnaire!D173</f>
        <v/>
      </c>
      <c r="E173" s="9" t="str">
        <f>questionnaire!E173</f>
        <v/>
      </c>
      <c r="F173" s="9">
        <f>8-questionnaire!F173</f>
        <v>8</v>
      </c>
      <c r="G173" s="9">
        <f>8-questionnaire!G173</f>
        <v>8</v>
      </c>
      <c r="H173" s="9">
        <f>8-questionnaire!H173</f>
        <v>8</v>
      </c>
      <c r="I173" s="9">
        <f>C173*10+D173*5+E173*1.66-(questionnaire!F173*1.66+questionnaire!G173*5+questionnaire!H173*10)</f>
        <v>0</v>
      </c>
    </row>
    <row r="174">
      <c r="A174" s="8" t="str">
        <f>questionnaire!A174</f>
        <v/>
      </c>
      <c r="B174" s="9" t="str">
        <f>questionnaire!B174</f>
        <v/>
      </c>
      <c r="C174" s="9" t="str">
        <f>questionnaire!C174</f>
        <v/>
      </c>
      <c r="D174" s="9" t="str">
        <f>questionnaire!D174</f>
        <v/>
      </c>
      <c r="E174" s="9" t="str">
        <f>questionnaire!E174</f>
        <v/>
      </c>
      <c r="F174" s="9">
        <f>8-questionnaire!F174</f>
        <v>8</v>
      </c>
      <c r="G174" s="9">
        <f>8-questionnaire!G174</f>
        <v>8</v>
      </c>
      <c r="H174" s="9">
        <f>8-questionnaire!H174</f>
        <v>8</v>
      </c>
      <c r="I174" s="9">
        <f>C174*10+D174*5+E174*1.66-(questionnaire!F174*1.66+questionnaire!G174*5+questionnaire!H174*10)</f>
        <v>0</v>
      </c>
    </row>
    <row r="175">
      <c r="A175" s="8" t="str">
        <f>questionnaire!A175</f>
        <v/>
      </c>
      <c r="B175" s="9" t="str">
        <f>questionnaire!B175</f>
        <v/>
      </c>
      <c r="C175" s="9" t="str">
        <f>questionnaire!C175</f>
        <v/>
      </c>
      <c r="D175" s="9" t="str">
        <f>questionnaire!D175</f>
        <v/>
      </c>
      <c r="E175" s="9" t="str">
        <f>questionnaire!E175</f>
        <v/>
      </c>
      <c r="F175" s="9">
        <f>8-questionnaire!F175</f>
        <v>8</v>
      </c>
      <c r="G175" s="9">
        <f>8-questionnaire!G175</f>
        <v>8</v>
      </c>
      <c r="H175" s="9">
        <f>8-questionnaire!H175</f>
        <v>8</v>
      </c>
      <c r="I175" s="9">
        <f>C175*10+D175*5+E175*1.66-(questionnaire!F175*1.66+questionnaire!G175*5+questionnaire!H175*10)</f>
        <v>0</v>
      </c>
    </row>
    <row r="176">
      <c r="A176" s="8" t="str">
        <f>questionnaire!A176</f>
        <v/>
      </c>
      <c r="B176" s="9" t="str">
        <f>questionnaire!B176</f>
        <v/>
      </c>
      <c r="C176" s="9" t="str">
        <f>questionnaire!C176</f>
        <v/>
      </c>
      <c r="D176" s="9" t="str">
        <f>questionnaire!D176</f>
        <v/>
      </c>
      <c r="E176" s="9" t="str">
        <f>questionnaire!E176</f>
        <v/>
      </c>
      <c r="F176" s="9">
        <f>8-questionnaire!F176</f>
        <v>8</v>
      </c>
      <c r="G176" s="9">
        <f>8-questionnaire!G176</f>
        <v>8</v>
      </c>
      <c r="H176" s="9">
        <f>8-questionnaire!H176</f>
        <v>8</v>
      </c>
      <c r="I176" s="9">
        <f>C176*10+D176*5+E176*1.66-(questionnaire!F176*1.66+questionnaire!G176*5+questionnaire!H176*10)</f>
        <v>0</v>
      </c>
    </row>
    <row r="177">
      <c r="A177" s="8" t="str">
        <f>questionnaire!A177</f>
        <v/>
      </c>
      <c r="B177" s="9" t="str">
        <f>questionnaire!B177</f>
        <v/>
      </c>
      <c r="C177" s="9" t="str">
        <f>questionnaire!C177</f>
        <v/>
      </c>
      <c r="D177" s="9" t="str">
        <f>questionnaire!D177</f>
        <v/>
      </c>
      <c r="E177" s="9" t="str">
        <f>questionnaire!E177</f>
        <v/>
      </c>
      <c r="F177" s="9">
        <f>8-questionnaire!F177</f>
        <v>8</v>
      </c>
      <c r="G177" s="9">
        <f>8-questionnaire!G177</f>
        <v>8</v>
      </c>
      <c r="H177" s="9">
        <f>8-questionnaire!H177</f>
        <v>8</v>
      </c>
      <c r="I177" s="9">
        <f>C177*10+D177*5+E177*1.66-(questionnaire!F177*1.66+questionnaire!G177*5+questionnaire!H177*10)</f>
        <v>0</v>
      </c>
    </row>
    <row r="178">
      <c r="A178" s="8" t="str">
        <f>questionnaire!A178</f>
        <v/>
      </c>
      <c r="B178" s="9" t="str">
        <f>questionnaire!B178</f>
        <v/>
      </c>
      <c r="C178" s="9" t="str">
        <f>questionnaire!C178</f>
        <v/>
      </c>
      <c r="D178" s="9" t="str">
        <f>questionnaire!D178</f>
        <v/>
      </c>
      <c r="E178" s="9" t="str">
        <f>questionnaire!E178</f>
        <v/>
      </c>
      <c r="F178" s="9">
        <f>8-questionnaire!F178</f>
        <v>8</v>
      </c>
      <c r="G178" s="9">
        <f>8-questionnaire!G178</f>
        <v>8</v>
      </c>
      <c r="H178" s="9">
        <f>8-questionnaire!H178</f>
        <v>8</v>
      </c>
      <c r="I178" s="9">
        <f>C178*10+D178*5+E178*1.66-(questionnaire!F178*1.66+questionnaire!G178*5+questionnaire!H178*10)</f>
        <v>0</v>
      </c>
    </row>
    <row r="179">
      <c r="A179" s="8" t="str">
        <f>questionnaire!A179</f>
        <v/>
      </c>
      <c r="B179" s="9" t="str">
        <f>questionnaire!B179</f>
        <v/>
      </c>
      <c r="C179" s="9" t="str">
        <f>questionnaire!C179</f>
        <v/>
      </c>
      <c r="D179" s="9" t="str">
        <f>questionnaire!D179</f>
        <v/>
      </c>
      <c r="E179" s="9" t="str">
        <f>questionnaire!E179</f>
        <v/>
      </c>
      <c r="F179" s="9">
        <f>8-questionnaire!F179</f>
        <v>8</v>
      </c>
      <c r="G179" s="9">
        <f>8-questionnaire!G179</f>
        <v>8</v>
      </c>
      <c r="H179" s="9">
        <f>8-questionnaire!H179</f>
        <v>8</v>
      </c>
      <c r="I179" s="9">
        <f>C179*10+D179*5+E179*1.66-(questionnaire!F179*1.66+questionnaire!G179*5+questionnaire!H179*10)</f>
        <v>0</v>
      </c>
    </row>
    <row r="180">
      <c r="A180" s="8" t="str">
        <f>questionnaire!A180</f>
        <v/>
      </c>
      <c r="B180" s="9" t="str">
        <f>questionnaire!B180</f>
        <v/>
      </c>
      <c r="C180" s="9" t="str">
        <f>questionnaire!C180</f>
        <v/>
      </c>
      <c r="D180" s="9" t="str">
        <f>questionnaire!D180</f>
        <v/>
      </c>
      <c r="E180" s="9" t="str">
        <f>questionnaire!E180</f>
        <v/>
      </c>
      <c r="F180" s="9">
        <f>8-questionnaire!F180</f>
        <v>8</v>
      </c>
      <c r="G180" s="9">
        <f>8-questionnaire!G180</f>
        <v>8</v>
      </c>
      <c r="H180" s="9">
        <f>8-questionnaire!H180</f>
        <v>8</v>
      </c>
      <c r="I180" s="9">
        <f>C180*10+D180*5+E180*1.66-(questionnaire!F180*1.66+questionnaire!G180*5+questionnaire!H180*10)</f>
        <v>0</v>
      </c>
    </row>
    <row r="181">
      <c r="A181" s="8" t="str">
        <f>questionnaire!A181</f>
        <v/>
      </c>
      <c r="B181" s="9" t="str">
        <f>questionnaire!B181</f>
        <v/>
      </c>
      <c r="C181" s="9" t="str">
        <f>questionnaire!C181</f>
        <v/>
      </c>
      <c r="D181" s="9" t="str">
        <f>questionnaire!D181</f>
        <v/>
      </c>
      <c r="E181" s="9" t="str">
        <f>questionnaire!E181</f>
        <v/>
      </c>
      <c r="F181" s="9">
        <f>8-questionnaire!F181</f>
        <v>8</v>
      </c>
      <c r="G181" s="9">
        <f>8-questionnaire!G181</f>
        <v>8</v>
      </c>
      <c r="H181" s="9">
        <f>8-questionnaire!H181</f>
        <v>8</v>
      </c>
      <c r="I181" s="9">
        <f>C181*10+D181*5+E181*1.66-(questionnaire!F181*1.66+questionnaire!G181*5+questionnaire!H181*10)</f>
        <v>0</v>
      </c>
    </row>
    <row r="182">
      <c r="A182" s="8" t="str">
        <f>questionnaire!A182</f>
        <v/>
      </c>
      <c r="B182" s="9" t="str">
        <f>questionnaire!B182</f>
        <v/>
      </c>
      <c r="C182" s="9" t="str">
        <f>questionnaire!C182</f>
        <v/>
      </c>
      <c r="D182" s="9" t="str">
        <f>questionnaire!D182</f>
        <v/>
      </c>
      <c r="E182" s="9" t="str">
        <f>questionnaire!E182</f>
        <v/>
      </c>
      <c r="F182" s="9">
        <f>8-questionnaire!F182</f>
        <v>8</v>
      </c>
      <c r="G182" s="9">
        <f>8-questionnaire!G182</f>
        <v>8</v>
      </c>
      <c r="H182" s="9">
        <f>8-questionnaire!H182</f>
        <v>8</v>
      </c>
      <c r="I182" s="9">
        <f>C182*10+D182*5+E182*1.66-(questionnaire!F182*1.66+questionnaire!G182*5+questionnaire!H182*10)</f>
        <v>0</v>
      </c>
    </row>
    <row r="183">
      <c r="A183" s="8" t="str">
        <f>questionnaire!A183</f>
        <v/>
      </c>
      <c r="B183" s="9" t="str">
        <f>questionnaire!B183</f>
        <v/>
      </c>
      <c r="C183" s="9" t="str">
        <f>questionnaire!C183</f>
        <v/>
      </c>
      <c r="D183" s="9" t="str">
        <f>questionnaire!D183</f>
        <v/>
      </c>
      <c r="E183" s="9" t="str">
        <f>questionnaire!E183</f>
        <v/>
      </c>
      <c r="F183" s="9">
        <f>8-questionnaire!F183</f>
        <v>8</v>
      </c>
      <c r="G183" s="9">
        <f>8-questionnaire!G183</f>
        <v>8</v>
      </c>
      <c r="H183" s="9">
        <f>8-questionnaire!H183</f>
        <v>8</v>
      </c>
      <c r="I183" s="9">
        <f>C183*10+D183*5+E183*1.66-(questionnaire!F183*1.66+questionnaire!G183*5+questionnaire!H183*10)</f>
        <v>0</v>
      </c>
    </row>
    <row r="184">
      <c r="A184" s="8" t="str">
        <f>questionnaire!A184</f>
        <v/>
      </c>
      <c r="B184" s="9" t="str">
        <f>questionnaire!B184</f>
        <v/>
      </c>
      <c r="C184" s="9" t="str">
        <f>questionnaire!C184</f>
        <v/>
      </c>
      <c r="D184" s="9" t="str">
        <f>questionnaire!D184</f>
        <v/>
      </c>
      <c r="E184" s="9" t="str">
        <f>questionnaire!E184</f>
        <v/>
      </c>
      <c r="F184" s="9">
        <f>8-questionnaire!F184</f>
        <v>8</v>
      </c>
      <c r="G184" s="9">
        <f>8-questionnaire!G184</f>
        <v>8</v>
      </c>
      <c r="H184" s="9">
        <f>8-questionnaire!H184</f>
        <v>8</v>
      </c>
      <c r="I184" s="9">
        <f>C184*10+D184*5+E184*1.66-(questionnaire!F184*1.66+questionnaire!G184*5+questionnaire!H184*10)</f>
        <v>0</v>
      </c>
    </row>
    <row r="185">
      <c r="A185" s="8" t="str">
        <f>questionnaire!A185</f>
        <v/>
      </c>
      <c r="B185" s="9" t="str">
        <f>questionnaire!B185</f>
        <v/>
      </c>
      <c r="C185" s="9" t="str">
        <f>questionnaire!C185</f>
        <v/>
      </c>
      <c r="D185" s="9" t="str">
        <f>questionnaire!D185</f>
        <v/>
      </c>
      <c r="E185" s="9" t="str">
        <f>questionnaire!E185</f>
        <v/>
      </c>
      <c r="F185" s="9">
        <f>8-questionnaire!F185</f>
        <v>8</v>
      </c>
      <c r="G185" s="9">
        <f>8-questionnaire!G185</f>
        <v>8</v>
      </c>
      <c r="H185" s="9">
        <f>8-questionnaire!H185</f>
        <v>8</v>
      </c>
      <c r="I185" s="9">
        <f>C185*10+D185*5+E185*1.66-(questionnaire!F185*1.66+questionnaire!G185*5+questionnaire!H185*10)</f>
        <v>0</v>
      </c>
    </row>
    <row r="186">
      <c r="A186" s="8" t="str">
        <f>questionnaire!A186</f>
        <v/>
      </c>
      <c r="B186" s="9" t="str">
        <f>questionnaire!B186</f>
        <v/>
      </c>
      <c r="C186" s="9" t="str">
        <f>questionnaire!C186</f>
        <v/>
      </c>
      <c r="D186" s="9" t="str">
        <f>questionnaire!D186</f>
        <v/>
      </c>
      <c r="E186" s="9" t="str">
        <f>questionnaire!E186</f>
        <v/>
      </c>
      <c r="F186" s="9">
        <f>8-questionnaire!F186</f>
        <v>8</v>
      </c>
      <c r="G186" s="9">
        <f>8-questionnaire!G186</f>
        <v>8</v>
      </c>
      <c r="H186" s="9">
        <f>8-questionnaire!H186</f>
        <v>8</v>
      </c>
      <c r="I186" s="9">
        <f>C186*10+D186*5+E186*1.66-(questionnaire!F186*1.66+questionnaire!G186*5+questionnaire!H186*10)</f>
        <v>0</v>
      </c>
    </row>
    <row r="187">
      <c r="A187" s="8" t="str">
        <f>questionnaire!A187</f>
        <v/>
      </c>
      <c r="B187" s="9" t="str">
        <f>questionnaire!B187</f>
        <v/>
      </c>
      <c r="C187" s="9" t="str">
        <f>questionnaire!C187</f>
        <v/>
      </c>
      <c r="D187" s="9" t="str">
        <f>questionnaire!D187</f>
        <v/>
      </c>
      <c r="E187" s="9" t="str">
        <f>questionnaire!E187</f>
        <v/>
      </c>
      <c r="F187" s="9">
        <f>8-questionnaire!F187</f>
        <v>8</v>
      </c>
      <c r="G187" s="9">
        <f>8-questionnaire!G187</f>
        <v>8</v>
      </c>
      <c r="H187" s="9">
        <f>8-questionnaire!H187</f>
        <v>8</v>
      </c>
      <c r="I187" s="9">
        <f>C187*10+D187*5+E187*1.66-(questionnaire!F187*1.66+questionnaire!G187*5+questionnaire!H187*10)</f>
        <v>0</v>
      </c>
    </row>
    <row r="188">
      <c r="A188" s="8" t="str">
        <f>questionnaire!A188</f>
        <v/>
      </c>
      <c r="B188" s="9" t="str">
        <f>questionnaire!B188</f>
        <v/>
      </c>
      <c r="C188" s="9" t="str">
        <f>questionnaire!C188</f>
        <v/>
      </c>
      <c r="D188" s="9" t="str">
        <f>questionnaire!D188</f>
        <v/>
      </c>
      <c r="E188" s="9" t="str">
        <f>questionnaire!E188</f>
        <v/>
      </c>
      <c r="F188" s="9">
        <f>8-questionnaire!F188</f>
        <v>8</v>
      </c>
      <c r="G188" s="9">
        <f>8-questionnaire!G188</f>
        <v>8</v>
      </c>
      <c r="H188" s="9">
        <f>8-questionnaire!H188</f>
        <v>8</v>
      </c>
      <c r="I188" s="9">
        <f>C188*10+D188*5+E188*1.66-(questionnaire!F188*1.66+questionnaire!G188*5+questionnaire!H188*10)</f>
        <v>0</v>
      </c>
    </row>
    <row r="189">
      <c r="A189" s="8" t="str">
        <f>questionnaire!A189</f>
        <v/>
      </c>
      <c r="B189" s="9" t="str">
        <f>questionnaire!B189</f>
        <v/>
      </c>
      <c r="C189" s="9" t="str">
        <f>questionnaire!C189</f>
        <v/>
      </c>
      <c r="D189" s="9" t="str">
        <f>questionnaire!D189</f>
        <v/>
      </c>
      <c r="E189" s="9" t="str">
        <f>questionnaire!E189</f>
        <v/>
      </c>
      <c r="F189" s="9">
        <f>8-questionnaire!F189</f>
        <v>8</v>
      </c>
      <c r="G189" s="9">
        <f>8-questionnaire!G189</f>
        <v>8</v>
      </c>
      <c r="H189" s="9">
        <f>8-questionnaire!H189</f>
        <v>8</v>
      </c>
      <c r="I189" s="9">
        <f>C189*10+D189*5+E189*1.66-(questionnaire!F189*1.66+questionnaire!G189*5+questionnaire!H189*10)</f>
        <v>0</v>
      </c>
    </row>
    <row r="190">
      <c r="A190" s="8" t="str">
        <f>questionnaire!A190</f>
        <v/>
      </c>
      <c r="B190" s="9" t="str">
        <f>questionnaire!B190</f>
        <v/>
      </c>
      <c r="C190" s="9" t="str">
        <f>questionnaire!C190</f>
        <v/>
      </c>
      <c r="D190" s="9" t="str">
        <f>questionnaire!D190</f>
        <v/>
      </c>
      <c r="E190" s="9" t="str">
        <f>questionnaire!E190</f>
        <v/>
      </c>
      <c r="F190" s="9">
        <f>8-questionnaire!F190</f>
        <v>8</v>
      </c>
      <c r="G190" s="9">
        <f>8-questionnaire!G190</f>
        <v>8</v>
      </c>
      <c r="H190" s="9">
        <f>8-questionnaire!H190</f>
        <v>8</v>
      </c>
      <c r="I190" s="9">
        <f>C190*10+D190*5+E190*1.66-(questionnaire!F190*1.66+questionnaire!G190*5+questionnaire!H190*10)</f>
        <v>0</v>
      </c>
    </row>
    <row r="191">
      <c r="A191" s="8" t="str">
        <f>questionnaire!A191</f>
        <v/>
      </c>
      <c r="B191" s="9" t="str">
        <f>questionnaire!B191</f>
        <v/>
      </c>
      <c r="C191" s="9" t="str">
        <f>questionnaire!C191</f>
        <v/>
      </c>
      <c r="D191" s="9" t="str">
        <f>questionnaire!D191</f>
        <v/>
      </c>
      <c r="E191" s="9" t="str">
        <f>questionnaire!E191</f>
        <v/>
      </c>
      <c r="F191" s="9">
        <f>8-questionnaire!F191</f>
        <v>8</v>
      </c>
      <c r="G191" s="9">
        <f>8-questionnaire!G191</f>
        <v>8</v>
      </c>
      <c r="H191" s="9">
        <f>8-questionnaire!H191</f>
        <v>8</v>
      </c>
      <c r="I191" s="9">
        <f>C191*10+D191*5+E191*1.66-(questionnaire!F191*1.66+questionnaire!G191*5+questionnaire!H191*10)</f>
        <v>0</v>
      </c>
    </row>
    <row r="192">
      <c r="A192" s="8" t="str">
        <f>questionnaire!A192</f>
        <v/>
      </c>
      <c r="B192" s="9" t="str">
        <f>questionnaire!B192</f>
        <v/>
      </c>
      <c r="C192" s="9" t="str">
        <f>questionnaire!C192</f>
        <v/>
      </c>
      <c r="D192" s="9" t="str">
        <f>questionnaire!D192</f>
        <v/>
      </c>
      <c r="E192" s="9" t="str">
        <f>questionnaire!E192</f>
        <v/>
      </c>
      <c r="F192" s="9">
        <f>8-questionnaire!F192</f>
        <v>8</v>
      </c>
      <c r="G192" s="9">
        <f>8-questionnaire!G192</f>
        <v>8</v>
      </c>
      <c r="H192" s="9">
        <f>8-questionnaire!H192</f>
        <v>8</v>
      </c>
      <c r="I192" s="9">
        <f>C192*10+D192*5+E192*1.66-(questionnaire!F192*1.66+questionnaire!G192*5+questionnaire!H192*10)</f>
        <v>0</v>
      </c>
    </row>
    <row r="193">
      <c r="A193" s="8" t="str">
        <f>questionnaire!A193</f>
        <v/>
      </c>
      <c r="B193" s="9" t="str">
        <f>questionnaire!B193</f>
        <v/>
      </c>
      <c r="C193" s="9" t="str">
        <f>questionnaire!C193</f>
        <v/>
      </c>
      <c r="D193" s="9" t="str">
        <f>questionnaire!D193</f>
        <v/>
      </c>
      <c r="E193" s="9" t="str">
        <f>questionnaire!E193</f>
        <v/>
      </c>
      <c r="F193" s="9">
        <f>8-questionnaire!F193</f>
        <v>8</v>
      </c>
      <c r="G193" s="9">
        <f>8-questionnaire!G193</f>
        <v>8</v>
      </c>
      <c r="H193" s="9">
        <f>8-questionnaire!H193</f>
        <v>8</v>
      </c>
      <c r="I193" s="9">
        <f>C193*10+D193*5+E193*1.66-(questionnaire!F193*1.66+questionnaire!G193*5+questionnaire!H193*10)</f>
        <v>0</v>
      </c>
    </row>
    <row r="194">
      <c r="A194" s="8" t="str">
        <f>questionnaire!A194</f>
        <v/>
      </c>
      <c r="B194" s="9" t="str">
        <f>questionnaire!B194</f>
        <v/>
      </c>
      <c r="C194" s="9" t="str">
        <f>questionnaire!C194</f>
        <v/>
      </c>
      <c r="D194" s="9" t="str">
        <f>questionnaire!D194</f>
        <v/>
      </c>
      <c r="E194" s="9" t="str">
        <f>questionnaire!E194</f>
        <v/>
      </c>
      <c r="F194" s="9">
        <f>8-questionnaire!F194</f>
        <v>8</v>
      </c>
      <c r="G194" s="9">
        <f>8-questionnaire!G194</f>
        <v>8</v>
      </c>
      <c r="H194" s="9">
        <f>8-questionnaire!H194</f>
        <v>8</v>
      </c>
      <c r="I194" s="9">
        <f>C194*10+D194*5+E194*1.66-(questionnaire!F194*1.66+questionnaire!G194*5+questionnaire!H194*10)</f>
        <v>0</v>
      </c>
    </row>
    <row r="195">
      <c r="A195" s="8" t="str">
        <f>questionnaire!A195</f>
        <v/>
      </c>
      <c r="B195" s="9" t="str">
        <f>questionnaire!B195</f>
        <v/>
      </c>
      <c r="C195" s="9" t="str">
        <f>questionnaire!C195</f>
        <v/>
      </c>
      <c r="D195" s="9" t="str">
        <f>questionnaire!D195</f>
        <v/>
      </c>
      <c r="E195" s="9" t="str">
        <f>questionnaire!E195</f>
        <v/>
      </c>
      <c r="F195" s="9">
        <f>8-questionnaire!F195</f>
        <v>8</v>
      </c>
      <c r="G195" s="9">
        <f>8-questionnaire!G195</f>
        <v>8</v>
      </c>
      <c r="H195" s="9">
        <f>8-questionnaire!H195</f>
        <v>8</v>
      </c>
      <c r="I195" s="9">
        <f>C195*10+D195*5+E195*1.66-(questionnaire!F195*1.66+questionnaire!G195*5+questionnaire!H195*10)</f>
        <v>0</v>
      </c>
    </row>
    <row r="196">
      <c r="A196" s="8" t="str">
        <f>questionnaire!A196</f>
        <v/>
      </c>
      <c r="B196" s="9" t="str">
        <f>questionnaire!B196</f>
        <v/>
      </c>
      <c r="C196" s="9" t="str">
        <f>questionnaire!C196</f>
        <v/>
      </c>
      <c r="D196" s="9" t="str">
        <f>questionnaire!D196</f>
        <v/>
      </c>
      <c r="E196" s="9" t="str">
        <f>questionnaire!E196</f>
        <v/>
      </c>
      <c r="F196" s="9">
        <f>8-questionnaire!F196</f>
        <v>8</v>
      </c>
      <c r="G196" s="9">
        <f>8-questionnaire!G196</f>
        <v>8</v>
      </c>
      <c r="H196" s="9">
        <f>8-questionnaire!H196</f>
        <v>8</v>
      </c>
      <c r="I196" s="9">
        <f>C196*10+D196*5+E196*1.66-(questionnaire!F196*1.66+questionnaire!G196*5+questionnaire!H196*10)</f>
        <v>0</v>
      </c>
    </row>
    <row r="197">
      <c r="A197" s="8" t="str">
        <f>questionnaire!A197</f>
        <v/>
      </c>
      <c r="B197" s="9" t="str">
        <f>questionnaire!B197</f>
        <v/>
      </c>
      <c r="C197" s="9" t="str">
        <f>questionnaire!C197</f>
        <v/>
      </c>
      <c r="D197" s="9" t="str">
        <f>questionnaire!D197</f>
        <v/>
      </c>
      <c r="E197" s="9" t="str">
        <f>questionnaire!E197</f>
        <v/>
      </c>
      <c r="F197" s="9">
        <f>8-questionnaire!F197</f>
        <v>8</v>
      </c>
      <c r="G197" s="9">
        <f>8-questionnaire!G197</f>
        <v>8</v>
      </c>
      <c r="H197" s="9">
        <f>8-questionnaire!H197</f>
        <v>8</v>
      </c>
      <c r="I197" s="9">
        <f>C197*10+D197*5+E197*1.66-(questionnaire!F197*1.66+questionnaire!G197*5+questionnaire!H197*10)</f>
        <v>0</v>
      </c>
    </row>
    <row r="198">
      <c r="A198" s="8" t="str">
        <f>questionnaire!A198</f>
        <v/>
      </c>
      <c r="B198" s="9" t="str">
        <f>questionnaire!B198</f>
        <v/>
      </c>
      <c r="C198" s="9" t="str">
        <f>questionnaire!C198</f>
        <v/>
      </c>
      <c r="D198" s="9" t="str">
        <f>questionnaire!D198</f>
        <v/>
      </c>
      <c r="E198" s="9" t="str">
        <f>questionnaire!E198</f>
        <v/>
      </c>
      <c r="F198" s="9">
        <f>8-questionnaire!F198</f>
        <v>8</v>
      </c>
      <c r="G198" s="9">
        <f>8-questionnaire!G198</f>
        <v>8</v>
      </c>
      <c r="H198" s="9">
        <f>8-questionnaire!H198</f>
        <v>8</v>
      </c>
      <c r="I198" s="9">
        <f>C198*10+D198*5+E198*1.66-(questionnaire!F198*1.66+questionnaire!G198*5+questionnaire!H198*10)</f>
        <v>0</v>
      </c>
    </row>
    <row r="199">
      <c r="A199" s="8" t="str">
        <f>questionnaire!A199</f>
        <v/>
      </c>
      <c r="B199" s="9" t="str">
        <f>questionnaire!B199</f>
        <v/>
      </c>
      <c r="C199" s="9" t="str">
        <f>questionnaire!C199</f>
        <v/>
      </c>
      <c r="D199" s="9" t="str">
        <f>questionnaire!D199</f>
        <v/>
      </c>
      <c r="E199" s="9" t="str">
        <f>questionnaire!E199</f>
        <v/>
      </c>
      <c r="F199" s="9">
        <f>8-questionnaire!F199</f>
        <v>8</v>
      </c>
      <c r="G199" s="9">
        <f>8-questionnaire!G199</f>
        <v>8</v>
      </c>
      <c r="H199" s="9">
        <f>8-questionnaire!H199</f>
        <v>8</v>
      </c>
      <c r="I199" s="9">
        <f>C199*10+D199*5+E199*1.66-(questionnaire!F199*1.66+questionnaire!G199*5+questionnaire!H199*10)</f>
        <v>0</v>
      </c>
    </row>
    <row r="200">
      <c r="A200" s="8" t="str">
        <f>questionnaire!A200</f>
        <v/>
      </c>
      <c r="B200" s="9" t="str">
        <f>questionnaire!B200</f>
        <v/>
      </c>
      <c r="C200" s="9" t="str">
        <f>questionnaire!C200</f>
        <v/>
      </c>
      <c r="D200" s="9" t="str">
        <f>questionnaire!D200</f>
        <v/>
      </c>
      <c r="E200" s="9" t="str">
        <f>questionnaire!E200</f>
        <v/>
      </c>
      <c r="F200" s="9">
        <f>8-questionnaire!F200</f>
        <v>8</v>
      </c>
      <c r="G200" s="9">
        <f>8-questionnaire!G200</f>
        <v>8</v>
      </c>
      <c r="H200" s="9">
        <f>8-questionnaire!H200</f>
        <v>8</v>
      </c>
      <c r="I200" s="9">
        <f>C200*10+D200*5+E200*1.66-(questionnaire!F200*1.66+questionnaire!G200*5+questionnaire!H200*10)</f>
        <v>0</v>
      </c>
    </row>
    <row r="201">
      <c r="A201" s="8" t="str">
        <f>questionnaire!A201</f>
        <v/>
      </c>
      <c r="B201" s="9" t="str">
        <f>questionnaire!B201</f>
        <v/>
      </c>
      <c r="C201" s="9" t="str">
        <f>questionnaire!C201</f>
        <v/>
      </c>
      <c r="D201" s="9" t="str">
        <f>questionnaire!D201</f>
        <v/>
      </c>
      <c r="E201" s="9" t="str">
        <f>questionnaire!E201</f>
        <v/>
      </c>
      <c r="F201" s="9">
        <f>8-questionnaire!F201</f>
        <v>8</v>
      </c>
      <c r="G201" s="9">
        <f>8-questionnaire!G201</f>
        <v>8</v>
      </c>
      <c r="H201" s="9">
        <f>8-questionnaire!H201</f>
        <v>8</v>
      </c>
      <c r="I201" s="9">
        <f>C201*10+D201*5+E201*1.66-(questionnaire!F201*1.66+questionnaire!G201*5+questionnaire!H201*10)</f>
        <v>0</v>
      </c>
    </row>
    <row r="202">
      <c r="A202" s="8" t="str">
        <f>questionnaire!A202</f>
        <v/>
      </c>
      <c r="B202" s="9" t="str">
        <f>questionnaire!B202</f>
        <v/>
      </c>
      <c r="C202" s="9" t="str">
        <f>questionnaire!C202</f>
        <v/>
      </c>
      <c r="D202" s="9" t="str">
        <f>questionnaire!D202</f>
        <v/>
      </c>
      <c r="E202" s="9" t="str">
        <f>questionnaire!E202</f>
        <v/>
      </c>
      <c r="F202" s="9">
        <f>8-questionnaire!F202</f>
        <v>8</v>
      </c>
      <c r="G202" s="9">
        <f>8-questionnaire!G202</f>
        <v>8</v>
      </c>
      <c r="H202" s="9">
        <f>8-questionnaire!H202</f>
        <v>8</v>
      </c>
      <c r="I202" s="9">
        <f>C202*10+D202*5+E202*1.66-(questionnaire!F202*1.66+questionnaire!G202*5+questionnaire!H202*10)</f>
        <v>0</v>
      </c>
    </row>
    <row r="203">
      <c r="A203" s="8" t="str">
        <f>questionnaire!A203</f>
        <v/>
      </c>
      <c r="B203" s="9" t="str">
        <f>questionnaire!B203</f>
        <v/>
      </c>
      <c r="C203" s="9" t="str">
        <f>questionnaire!C203</f>
        <v/>
      </c>
      <c r="D203" s="9" t="str">
        <f>questionnaire!D203</f>
        <v/>
      </c>
      <c r="E203" s="9" t="str">
        <f>questionnaire!E203</f>
        <v/>
      </c>
      <c r="F203" s="9">
        <f>8-questionnaire!F203</f>
        <v>8</v>
      </c>
      <c r="G203" s="9">
        <f>8-questionnaire!G203</f>
        <v>8</v>
      </c>
      <c r="H203" s="9">
        <f>8-questionnaire!H203</f>
        <v>8</v>
      </c>
      <c r="I203" s="9">
        <f>C203*10+D203*5+E203*1.66-(questionnaire!F203*1.66+questionnaire!G203*5+questionnaire!H203*10)</f>
        <v>0</v>
      </c>
    </row>
    <row r="204">
      <c r="A204" s="8" t="str">
        <f>questionnaire!A204</f>
        <v/>
      </c>
      <c r="B204" s="9" t="str">
        <f>questionnaire!B204</f>
        <v/>
      </c>
      <c r="C204" s="9" t="str">
        <f>questionnaire!C204</f>
        <v/>
      </c>
      <c r="D204" s="9" t="str">
        <f>questionnaire!D204</f>
        <v/>
      </c>
      <c r="E204" s="9" t="str">
        <f>questionnaire!E204</f>
        <v/>
      </c>
      <c r="F204" s="9">
        <f>8-questionnaire!F204</f>
        <v>8</v>
      </c>
      <c r="G204" s="9">
        <f>8-questionnaire!G204</f>
        <v>8</v>
      </c>
      <c r="H204" s="9">
        <f>8-questionnaire!H204</f>
        <v>8</v>
      </c>
      <c r="I204" s="9">
        <f>C204*10+D204*5+E204*1.66-(questionnaire!F204*1.66+questionnaire!G204*5+questionnaire!H204*10)</f>
        <v>0</v>
      </c>
    </row>
    <row r="205">
      <c r="A205" s="8" t="str">
        <f>questionnaire!A205</f>
        <v/>
      </c>
      <c r="B205" s="9" t="str">
        <f>questionnaire!B205</f>
        <v/>
      </c>
      <c r="C205" s="9" t="str">
        <f>questionnaire!C205</f>
        <v/>
      </c>
      <c r="D205" s="9" t="str">
        <f>questionnaire!D205</f>
        <v/>
      </c>
      <c r="E205" s="9" t="str">
        <f>questionnaire!E205</f>
        <v/>
      </c>
      <c r="F205" s="9">
        <f>8-questionnaire!F205</f>
        <v>8</v>
      </c>
      <c r="G205" s="9">
        <f>8-questionnaire!G205</f>
        <v>8</v>
      </c>
      <c r="H205" s="9">
        <f>8-questionnaire!H205</f>
        <v>8</v>
      </c>
      <c r="I205" s="9">
        <f>C205*10+D205*5+E205*1.66-(questionnaire!F205*1.66+questionnaire!G205*5+questionnaire!H205*10)</f>
        <v>0</v>
      </c>
    </row>
    <row r="206">
      <c r="A206" s="8" t="str">
        <f>questionnaire!A206</f>
        <v/>
      </c>
      <c r="B206" s="9" t="str">
        <f>questionnaire!B206</f>
        <v/>
      </c>
      <c r="C206" s="9" t="str">
        <f>questionnaire!C206</f>
        <v/>
      </c>
      <c r="D206" s="9" t="str">
        <f>questionnaire!D206</f>
        <v/>
      </c>
      <c r="E206" s="9" t="str">
        <f>questionnaire!E206</f>
        <v/>
      </c>
      <c r="F206" s="9">
        <f>8-questionnaire!F206</f>
        <v>8</v>
      </c>
      <c r="G206" s="9">
        <f>8-questionnaire!G206</f>
        <v>8</v>
      </c>
      <c r="H206" s="9">
        <f>8-questionnaire!H206</f>
        <v>8</v>
      </c>
      <c r="I206" s="9">
        <f>C206*10+D206*5+E206*1.66-(questionnaire!F206*1.66+questionnaire!G206*5+questionnaire!H206*10)</f>
        <v>0</v>
      </c>
    </row>
    <row r="207">
      <c r="A207" s="8" t="str">
        <f>questionnaire!A207</f>
        <v/>
      </c>
      <c r="B207" s="9" t="str">
        <f>questionnaire!B207</f>
        <v/>
      </c>
      <c r="C207" s="9" t="str">
        <f>questionnaire!C207</f>
        <v/>
      </c>
      <c r="D207" s="9" t="str">
        <f>questionnaire!D207</f>
        <v/>
      </c>
      <c r="E207" s="9" t="str">
        <f>questionnaire!E207</f>
        <v/>
      </c>
      <c r="F207" s="9">
        <f>8-questionnaire!F207</f>
        <v>8</v>
      </c>
      <c r="G207" s="9">
        <f>8-questionnaire!G207</f>
        <v>8</v>
      </c>
      <c r="H207" s="9">
        <f>8-questionnaire!H207</f>
        <v>8</v>
      </c>
      <c r="I207" s="9">
        <f>C207*10+D207*5+E207*1.66-(questionnaire!F207*1.66+questionnaire!G207*5+questionnaire!H207*10)</f>
        <v>0</v>
      </c>
    </row>
    <row r="208">
      <c r="A208" s="8" t="str">
        <f>questionnaire!A208</f>
        <v/>
      </c>
      <c r="B208" s="9" t="str">
        <f>questionnaire!B208</f>
        <v/>
      </c>
      <c r="C208" s="9" t="str">
        <f>questionnaire!C208</f>
        <v/>
      </c>
      <c r="D208" s="9" t="str">
        <f>questionnaire!D208</f>
        <v/>
      </c>
      <c r="E208" s="9" t="str">
        <f>questionnaire!E208</f>
        <v/>
      </c>
      <c r="F208" s="9">
        <f>8-questionnaire!F208</f>
        <v>8</v>
      </c>
      <c r="G208" s="9">
        <f>8-questionnaire!G208</f>
        <v>8</v>
      </c>
      <c r="H208" s="9">
        <f>8-questionnaire!H208</f>
        <v>8</v>
      </c>
      <c r="I208" s="9">
        <f>C208*10+D208*5+E208*1.66-(questionnaire!F208*1.66+questionnaire!G208*5+questionnaire!H208*10)</f>
        <v>0</v>
      </c>
    </row>
    <row r="209">
      <c r="A209" s="8" t="str">
        <f>questionnaire!A209</f>
        <v/>
      </c>
      <c r="B209" s="9" t="str">
        <f>questionnaire!B209</f>
        <v/>
      </c>
      <c r="C209" s="9" t="str">
        <f>questionnaire!C209</f>
        <v/>
      </c>
      <c r="D209" s="9" t="str">
        <f>questionnaire!D209</f>
        <v/>
      </c>
      <c r="E209" s="9" t="str">
        <f>questionnaire!E209</f>
        <v/>
      </c>
      <c r="F209" s="9">
        <f>8-questionnaire!F209</f>
        <v>8</v>
      </c>
      <c r="G209" s="9">
        <f>8-questionnaire!G209</f>
        <v>8</v>
      </c>
      <c r="H209" s="9">
        <f>8-questionnaire!H209</f>
        <v>8</v>
      </c>
      <c r="I209" s="9">
        <f>C209*10+D209*5+E209*1.66-(questionnaire!F209*1.66+questionnaire!G209*5+questionnaire!H209*10)</f>
        <v>0</v>
      </c>
    </row>
    <row r="210">
      <c r="A210" s="8" t="str">
        <f>questionnaire!A210</f>
        <v/>
      </c>
      <c r="B210" s="9" t="str">
        <f>questionnaire!B210</f>
        <v/>
      </c>
      <c r="C210" s="9" t="str">
        <f>questionnaire!C210</f>
        <v/>
      </c>
      <c r="D210" s="9" t="str">
        <f>questionnaire!D210</f>
        <v/>
      </c>
      <c r="E210" s="9" t="str">
        <f>questionnaire!E210</f>
        <v/>
      </c>
      <c r="F210" s="9">
        <f>8-questionnaire!F210</f>
        <v>8</v>
      </c>
      <c r="G210" s="9">
        <f>8-questionnaire!G210</f>
        <v>8</v>
      </c>
      <c r="H210" s="9">
        <f>8-questionnaire!H210</f>
        <v>8</v>
      </c>
      <c r="I210" s="9">
        <f>C210*10+D210*5+E210*1.66-(questionnaire!F210*1.66+questionnaire!G210*5+questionnaire!H210*10)</f>
        <v>0</v>
      </c>
    </row>
    <row r="211">
      <c r="A211" s="8" t="str">
        <f>questionnaire!A211</f>
        <v/>
      </c>
      <c r="B211" s="9" t="str">
        <f>questionnaire!B211</f>
        <v/>
      </c>
      <c r="C211" s="9" t="str">
        <f>questionnaire!C211</f>
        <v/>
      </c>
      <c r="D211" s="9" t="str">
        <f>questionnaire!D211</f>
        <v/>
      </c>
      <c r="E211" s="9" t="str">
        <f>questionnaire!E211</f>
        <v/>
      </c>
      <c r="F211" s="9">
        <f>8-questionnaire!F211</f>
        <v>8</v>
      </c>
      <c r="G211" s="9">
        <f>8-questionnaire!G211</f>
        <v>8</v>
      </c>
      <c r="H211" s="9">
        <f>8-questionnaire!H211</f>
        <v>8</v>
      </c>
      <c r="I211" s="9">
        <f>C211*10+D211*5+E211*1.66-(questionnaire!F211*1.66+questionnaire!G211*5+questionnaire!H211*10)</f>
        <v>0</v>
      </c>
    </row>
    <row r="212">
      <c r="A212" s="8" t="str">
        <f>questionnaire!A212</f>
        <v/>
      </c>
      <c r="B212" s="9" t="str">
        <f>questionnaire!B212</f>
        <v/>
      </c>
      <c r="C212" s="9" t="str">
        <f>questionnaire!C212</f>
        <v/>
      </c>
      <c r="D212" s="9" t="str">
        <f>questionnaire!D212</f>
        <v/>
      </c>
      <c r="E212" s="9" t="str">
        <f>questionnaire!E212</f>
        <v/>
      </c>
      <c r="F212" s="9">
        <f>8-questionnaire!F212</f>
        <v>8</v>
      </c>
      <c r="G212" s="9">
        <f>8-questionnaire!G212</f>
        <v>8</v>
      </c>
      <c r="H212" s="9">
        <f>8-questionnaire!H212</f>
        <v>8</v>
      </c>
      <c r="I212" s="9">
        <f>C212*10+D212*5+E212*1.66-(questionnaire!F212*1.66+questionnaire!G212*5+questionnaire!H212*10)</f>
        <v>0</v>
      </c>
    </row>
    <row r="213">
      <c r="A213" s="8" t="str">
        <f>questionnaire!A213</f>
        <v/>
      </c>
      <c r="B213" s="9" t="str">
        <f>questionnaire!B213</f>
        <v/>
      </c>
      <c r="C213" s="9" t="str">
        <f>questionnaire!C213</f>
        <v/>
      </c>
      <c r="D213" s="9" t="str">
        <f>questionnaire!D213</f>
        <v/>
      </c>
      <c r="E213" s="9" t="str">
        <f>questionnaire!E213</f>
        <v/>
      </c>
      <c r="F213" s="9">
        <f>8-questionnaire!F213</f>
        <v>8</v>
      </c>
      <c r="G213" s="9">
        <f>8-questionnaire!G213</f>
        <v>8</v>
      </c>
      <c r="H213" s="9">
        <f>8-questionnaire!H213</f>
        <v>8</v>
      </c>
      <c r="I213" s="9">
        <f>C213*10+D213*5+E213*1.66-(questionnaire!F213*1.66+questionnaire!G213*5+questionnaire!H213*10)</f>
        <v>0</v>
      </c>
    </row>
    <row r="214">
      <c r="A214" s="8" t="str">
        <f>questionnaire!A214</f>
        <v/>
      </c>
      <c r="B214" s="9" t="str">
        <f>questionnaire!B214</f>
        <v/>
      </c>
      <c r="C214" s="9" t="str">
        <f>questionnaire!C214</f>
        <v/>
      </c>
      <c r="D214" s="9" t="str">
        <f>questionnaire!D214</f>
        <v/>
      </c>
      <c r="E214" s="9" t="str">
        <f>questionnaire!E214</f>
        <v/>
      </c>
      <c r="F214" s="9">
        <f>8-questionnaire!F214</f>
        <v>8</v>
      </c>
      <c r="G214" s="9">
        <f>8-questionnaire!G214</f>
        <v>8</v>
      </c>
      <c r="H214" s="9">
        <f>8-questionnaire!H214</f>
        <v>8</v>
      </c>
      <c r="I214" s="9">
        <f>C214*10+D214*5+E214*1.66-(questionnaire!F214*1.66+questionnaire!G214*5+questionnaire!H214*10)</f>
        <v>0</v>
      </c>
    </row>
    <row r="215">
      <c r="A215" s="8" t="str">
        <f>questionnaire!A215</f>
        <v/>
      </c>
      <c r="B215" s="9" t="str">
        <f>questionnaire!B215</f>
        <v/>
      </c>
      <c r="C215" s="9" t="str">
        <f>questionnaire!C215</f>
        <v/>
      </c>
      <c r="D215" s="9" t="str">
        <f>questionnaire!D215</f>
        <v/>
      </c>
      <c r="E215" s="9" t="str">
        <f>questionnaire!E215</f>
        <v/>
      </c>
      <c r="F215" s="9">
        <f>8-questionnaire!F215</f>
        <v>8</v>
      </c>
      <c r="G215" s="9">
        <f>8-questionnaire!G215</f>
        <v>8</v>
      </c>
      <c r="H215" s="9">
        <f>8-questionnaire!H215</f>
        <v>8</v>
      </c>
      <c r="I215" s="9">
        <f>C215*10+D215*5+E215*1.66-(questionnaire!F215*1.66+questionnaire!G215*5+questionnaire!H215*10)</f>
        <v>0</v>
      </c>
    </row>
    <row r="216">
      <c r="A216" s="8" t="str">
        <f>questionnaire!A216</f>
        <v/>
      </c>
      <c r="B216" s="9" t="str">
        <f>questionnaire!B216</f>
        <v/>
      </c>
      <c r="C216" s="9" t="str">
        <f>questionnaire!C216</f>
        <v/>
      </c>
      <c r="D216" s="9" t="str">
        <f>questionnaire!D216</f>
        <v/>
      </c>
      <c r="E216" s="9" t="str">
        <f>questionnaire!E216</f>
        <v/>
      </c>
      <c r="F216" s="9">
        <f>8-questionnaire!F216</f>
        <v>8</v>
      </c>
      <c r="G216" s="9">
        <f>8-questionnaire!G216</f>
        <v>8</v>
      </c>
      <c r="H216" s="9">
        <f>8-questionnaire!H216</f>
        <v>8</v>
      </c>
      <c r="I216" s="9">
        <f>C216*10+D216*5+E216*1.66-(questionnaire!F216*1.66+questionnaire!G216*5+questionnaire!H216*10)</f>
        <v>0</v>
      </c>
    </row>
    <row r="217">
      <c r="A217" s="8" t="str">
        <f>questionnaire!A217</f>
        <v/>
      </c>
      <c r="B217" s="9" t="str">
        <f>questionnaire!B217</f>
        <v/>
      </c>
      <c r="C217" s="9" t="str">
        <f>questionnaire!C217</f>
        <v/>
      </c>
      <c r="D217" s="9" t="str">
        <f>questionnaire!D217</f>
        <v/>
      </c>
      <c r="E217" s="9" t="str">
        <f>questionnaire!E217</f>
        <v/>
      </c>
      <c r="F217" s="9">
        <f>8-questionnaire!F217</f>
        <v>8</v>
      </c>
      <c r="G217" s="9">
        <f>8-questionnaire!G217</f>
        <v>8</v>
      </c>
      <c r="H217" s="9">
        <f>8-questionnaire!H217</f>
        <v>8</v>
      </c>
      <c r="I217" s="9">
        <f>C217*10+D217*5+E217*1.66-(questionnaire!F217*1.66+questionnaire!G217*5+questionnaire!H217*10)</f>
        <v>0</v>
      </c>
    </row>
    <row r="218">
      <c r="A218" s="8" t="str">
        <f>questionnaire!A218</f>
        <v/>
      </c>
      <c r="B218" s="9" t="str">
        <f>questionnaire!B218</f>
        <v/>
      </c>
      <c r="C218" s="9" t="str">
        <f>questionnaire!C218</f>
        <v/>
      </c>
      <c r="D218" s="9" t="str">
        <f>questionnaire!D218</f>
        <v/>
      </c>
      <c r="E218" s="9" t="str">
        <f>questionnaire!E218</f>
        <v/>
      </c>
      <c r="F218" s="9">
        <f>8-questionnaire!F218</f>
        <v>8</v>
      </c>
      <c r="G218" s="9">
        <f>8-questionnaire!G218</f>
        <v>8</v>
      </c>
      <c r="H218" s="9">
        <f>8-questionnaire!H218</f>
        <v>8</v>
      </c>
      <c r="I218" s="9">
        <f>C218*10+D218*5+E218*1.66-(questionnaire!F218*1.66+questionnaire!G218*5+questionnaire!H218*10)</f>
        <v>0</v>
      </c>
    </row>
    <row r="219">
      <c r="A219" s="8" t="str">
        <f>questionnaire!A219</f>
        <v/>
      </c>
      <c r="B219" s="9" t="str">
        <f>questionnaire!B219</f>
        <v/>
      </c>
      <c r="C219" s="9" t="str">
        <f>questionnaire!C219</f>
        <v/>
      </c>
      <c r="D219" s="9" t="str">
        <f>questionnaire!D219</f>
        <v/>
      </c>
      <c r="E219" s="9" t="str">
        <f>questionnaire!E219</f>
        <v/>
      </c>
      <c r="F219" s="9">
        <f>8-questionnaire!F219</f>
        <v>8</v>
      </c>
      <c r="G219" s="9">
        <f>8-questionnaire!G219</f>
        <v>8</v>
      </c>
      <c r="H219" s="9">
        <f>8-questionnaire!H219</f>
        <v>8</v>
      </c>
      <c r="I219" s="9">
        <f>C219*10+D219*5+E219*1.66-(questionnaire!F219*1.66+questionnaire!G219*5+questionnaire!H219*10)</f>
        <v>0</v>
      </c>
    </row>
    <row r="220">
      <c r="A220" s="8" t="str">
        <f>questionnaire!A220</f>
        <v/>
      </c>
      <c r="B220" s="9" t="str">
        <f>questionnaire!B220</f>
        <v/>
      </c>
      <c r="C220" s="9" t="str">
        <f>questionnaire!C220</f>
        <v/>
      </c>
      <c r="D220" s="9" t="str">
        <f>questionnaire!D220</f>
        <v/>
      </c>
      <c r="E220" s="9" t="str">
        <f>questionnaire!E220</f>
        <v/>
      </c>
      <c r="F220" s="9">
        <f>8-questionnaire!F220</f>
        <v>8</v>
      </c>
      <c r="G220" s="9">
        <f>8-questionnaire!G220</f>
        <v>8</v>
      </c>
      <c r="H220" s="9">
        <f>8-questionnaire!H220</f>
        <v>8</v>
      </c>
      <c r="I220" s="9">
        <f>C220*10+D220*5+E220*1.66-(questionnaire!F220*1.66+questionnaire!G220*5+questionnaire!H220*10)</f>
        <v>0</v>
      </c>
    </row>
    <row r="221">
      <c r="A221" s="8" t="str">
        <f>questionnaire!A221</f>
        <v/>
      </c>
      <c r="B221" s="9" t="str">
        <f>questionnaire!B221</f>
        <v/>
      </c>
      <c r="C221" s="9" t="str">
        <f>questionnaire!C221</f>
        <v/>
      </c>
      <c r="D221" s="9" t="str">
        <f>questionnaire!D221</f>
        <v/>
      </c>
      <c r="E221" s="9" t="str">
        <f>questionnaire!E221</f>
        <v/>
      </c>
      <c r="F221" s="9">
        <f>8-questionnaire!F221</f>
        <v>8</v>
      </c>
      <c r="G221" s="9">
        <f>8-questionnaire!G221</f>
        <v>8</v>
      </c>
      <c r="H221" s="9">
        <f>8-questionnaire!H221</f>
        <v>8</v>
      </c>
      <c r="I221" s="9">
        <f>C221*10+D221*5+E221*1.66-(questionnaire!F221*1.66+questionnaire!G221*5+questionnaire!H221*10)</f>
        <v>0</v>
      </c>
    </row>
    <row r="222">
      <c r="A222" s="8" t="str">
        <f>questionnaire!A222</f>
        <v/>
      </c>
      <c r="B222" s="9" t="str">
        <f>questionnaire!B222</f>
        <v/>
      </c>
      <c r="C222" s="9" t="str">
        <f>questionnaire!C222</f>
        <v/>
      </c>
      <c r="D222" s="9" t="str">
        <f>questionnaire!D222</f>
        <v/>
      </c>
      <c r="E222" s="9" t="str">
        <f>questionnaire!E222</f>
        <v/>
      </c>
      <c r="F222" s="9">
        <f>8-questionnaire!F222</f>
        <v>8</v>
      </c>
      <c r="G222" s="9">
        <f>8-questionnaire!G222</f>
        <v>8</v>
      </c>
      <c r="H222" s="9">
        <f>8-questionnaire!H222</f>
        <v>8</v>
      </c>
      <c r="I222" s="9">
        <f>C222*10+D222*5+E222*1.66-(questionnaire!F222*1.66+questionnaire!G222*5+questionnaire!H222*10)</f>
        <v>0</v>
      </c>
    </row>
    <row r="223">
      <c r="A223" s="8" t="str">
        <f>questionnaire!A223</f>
        <v/>
      </c>
      <c r="B223" s="9" t="str">
        <f>questionnaire!B223</f>
        <v/>
      </c>
      <c r="C223" s="9" t="str">
        <f>questionnaire!C223</f>
        <v/>
      </c>
      <c r="D223" s="9" t="str">
        <f>questionnaire!D223</f>
        <v/>
      </c>
      <c r="E223" s="9" t="str">
        <f>questionnaire!E223</f>
        <v/>
      </c>
      <c r="F223" s="9">
        <f>8-questionnaire!F223</f>
        <v>8</v>
      </c>
      <c r="G223" s="9">
        <f>8-questionnaire!G223</f>
        <v>8</v>
      </c>
      <c r="H223" s="9">
        <f>8-questionnaire!H223</f>
        <v>8</v>
      </c>
      <c r="I223" s="9">
        <f>C223*10+D223*5+E223*1.66-(questionnaire!F223*1.66+questionnaire!G223*5+questionnaire!H223*10)</f>
        <v>0</v>
      </c>
    </row>
    <row r="224">
      <c r="A224" s="8" t="str">
        <f>questionnaire!A224</f>
        <v/>
      </c>
      <c r="B224" s="9" t="str">
        <f>questionnaire!B224</f>
        <v/>
      </c>
      <c r="C224" s="9" t="str">
        <f>questionnaire!C224</f>
        <v/>
      </c>
      <c r="D224" s="9" t="str">
        <f>questionnaire!D224</f>
        <v/>
      </c>
      <c r="E224" s="9" t="str">
        <f>questionnaire!E224</f>
        <v/>
      </c>
      <c r="F224" s="9">
        <f>8-questionnaire!F224</f>
        <v>8</v>
      </c>
      <c r="G224" s="9">
        <f>8-questionnaire!G224</f>
        <v>8</v>
      </c>
      <c r="H224" s="9">
        <f>8-questionnaire!H224</f>
        <v>8</v>
      </c>
      <c r="I224" s="9">
        <f>C224*10+D224*5+E224*1.66-(questionnaire!F224*1.66+questionnaire!G224*5+questionnaire!H224*10)</f>
        <v>0</v>
      </c>
    </row>
    <row r="225">
      <c r="A225" s="8" t="str">
        <f>questionnaire!A225</f>
        <v/>
      </c>
      <c r="B225" s="9" t="str">
        <f>questionnaire!B225</f>
        <v/>
      </c>
      <c r="C225" s="9" t="str">
        <f>questionnaire!C225</f>
        <v/>
      </c>
      <c r="D225" s="9" t="str">
        <f>questionnaire!D225</f>
        <v/>
      </c>
      <c r="E225" s="9" t="str">
        <f>questionnaire!E225</f>
        <v/>
      </c>
      <c r="F225" s="9">
        <f>8-questionnaire!F225</f>
        <v>8</v>
      </c>
      <c r="G225" s="9">
        <f>8-questionnaire!G225</f>
        <v>8</v>
      </c>
      <c r="H225" s="9">
        <f>8-questionnaire!H225</f>
        <v>8</v>
      </c>
      <c r="I225" s="9">
        <f>C225*10+D225*5+E225*1.66-(questionnaire!F225*1.66+questionnaire!G225*5+questionnaire!H225*10)</f>
        <v>0</v>
      </c>
    </row>
    <row r="226">
      <c r="A226" s="8" t="str">
        <f>questionnaire!A226</f>
        <v/>
      </c>
      <c r="B226" s="9" t="str">
        <f>questionnaire!B226</f>
        <v/>
      </c>
      <c r="C226" s="9" t="str">
        <f>questionnaire!C226</f>
        <v/>
      </c>
      <c r="D226" s="9" t="str">
        <f>questionnaire!D226</f>
        <v/>
      </c>
      <c r="E226" s="9" t="str">
        <f>questionnaire!E226</f>
        <v/>
      </c>
      <c r="F226" s="9">
        <f>8-questionnaire!F226</f>
        <v>8</v>
      </c>
      <c r="G226" s="9">
        <f>8-questionnaire!G226</f>
        <v>8</v>
      </c>
      <c r="H226" s="9">
        <f>8-questionnaire!H226</f>
        <v>8</v>
      </c>
      <c r="I226" s="9">
        <f>C226*10+D226*5+E226*1.66-(questionnaire!F226*1.66+questionnaire!G226*5+questionnaire!H226*10)</f>
        <v>0</v>
      </c>
    </row>
    <row r="227">
      <c r="A227" s="8" t="str">
        <f>questionnaire!A227</f>
        <v/>
      </c>
      <c r="B227" s="9" t="str">
        <f>questionnaire!B227</f>
        <v/>
      </c>
      <c r="C227" s="9" t="str">
        <f>questionnaire!C227</f>
        <v/>
      </c>
      <c r="D227" s="9" t="str">
        <f>questionnaire!D227</f>
        <v/>
      </c>
      <c r="E227" s="9" t="str">
        <f>questionnaire!E227</f>
        <v/>
      </c>
      <c r="F227" s="9">
        <f>8-questionnaire!F227</f>
        <v>8</v>
      </c>
      <c r="G227" s="9">
        <f>8-questionnaire!G227</f>
        <v>8</v>
      </c>
      <c r="H227" s="9">
        <f>8-questionnaire!H227</f>
        <v>8</v>
      </c>
      <c r="I227" s="9">
        <f>C227*10+D227*5+E227*1.66-(questionnaire!F227*1.66+questionnaire!G227*5+questionnaire!H227*10)</f>
        <v>0</v>
      </c>
    </row>
    <row r="228">
      <c r="A228" s="8" t="str">
        <f>questionnaire!A228</f>
        <v/>
      </c>
      <c r="B228" s="9" t="str">
        <f>questionnaire!B228</f>
        <v/>
      </c>
      <c r="C228" s="9" t="str">
        <f>questionnaire!C228</f>
        <v/>
      </c>
      <c r="D228" s="9" t="str">
        <f>questionnaire!D228</f>
        <v/>
      </c>
      <c r="E228" s="9" t="str">
        <f>questionnaire!E228</f>
        <v/>
      </c>
      <c r="F228" s="9">
        <f>8-questionnaire!F228</f>
        <v>8</v>
      </c>
      <c r="G228" s="9">
        <f>8-questionnaire!G228</f>
        <v>8</v>
      </c>
      <c r="H228" s="9">
        <f>8-questionnaire!H228</f>
        <v>8</v>
      </c>
      <c r="I228" s="9">
        <f>C228*10+D228*5+E228*1.66-(questionnaire!F228*1.66+questionnaire!G228*5+questionnaire!H228*10)</f>
        <v>0</v>
      </c>
    </row>
    <row r="229">
      <c r="A229" s="8" t="str">
        <f>questionnaire!A229</f>
        <v/>
      </c>
      <c r="B229" s="9" t="str">
        <f>questionnaire!B229</f>
        <v/>
      </c>
      <c r="C229" s="9" t="str">
        <f>questionnaire!C229</f>
        <v/>
      </c>
      <c r="D229" s="9" t="str">
        <f>questionnaire!D229</f>
        <v/>
      </c>
      <c r="E229" s="9" t="str">
        <f>questionnaire!E229</f>
        <v/>
      </c>
      <c r="F229" s="9">
        <f>8-questionnaire!F229</f>
        <v>8</v>
      </c>
      <c r="G229" s="9">
        <f>8-questionnaire!G229</f>
        <v>8</v>
      </c>
      <c r="H229" s="9">
        <f>8-questionnaire!H229</f>
        <v>8</v>
      </c>
      <c r="I229" s="9">
        <f>C229*10+D229*5+E229*1.66-(questionnaire!F229*1.66+questionnaire!G229*5+questionnaire!H229*10)</f>
        <v>0</v>
      </c>
    </row>
    <row r="230">
      <c r="A230" s="8" t="str">
        <f>questionnaire!A230</f>
        <v/>
      </c>
      <c r="B230" s="9" t="str">
        <f>questionnaire!B230</f>
        <v/>
      </c>
      <c r="C230" s="9" t="str">
        <f>questionnaire!C230</f>
        <v/>
      </c>
      <c r="D230" s="9" t="str">
        <f>questionnaire!D230</f>
        <v/>
      </c>
      <c r="E230" s="9" t="str">
        <f>questionnaire!E230</f>
        <v/>
      </c>
      <c r="F230" s="9">
        <f>8-questionnaire!F230</f>
        <v>8</v>
      </c>
      <c r="G230" s="9">
        <f>8-questionnaire!G230</f>
        <v>8</v>
      </c>
      <c r="H230" s="9">
        <f>8-questionnaire!H230</f>
        <v>8</v>
      </c>
      <c r="I230" s="9">
        <f>C230*10+D230*5+E230*1.66-(questionnaire!F230*1.66+questionnaire!G230*5+questionnaire!H230*10)</f>
        <v>0</v>
      </c>
    </row>
    <row r="231">
      <c r="A231" s="8" t="str">
        <f>questionnaire!A231</f>
        <v/>
      </c>
      <c r="B231" s="9" t="str">
        <f>questionnaire!B231</f>
        <v/>
      </c>
      <c r="C231" s="9" t="str">
        <f>questionnaire!C231</f>
        <v/>
      </c>
      <c r="D231" s="9" t="str">
        <f>questionnaire!D231</f>
        <v/>
      </c>
      <c r="E231" s="9" t="str">
        <f>questionnaire!E231</f>
        <v/>
      </c>
      <c r="F231" s="9">
        <f>8-questionnaire!F231</f>
        <v>8</v>
      </c>
      <c r="G231" s="9">
        <f>8-questionnaire!G231</f>
        <v>8</v>
      </c>
      <c r="H231" s="9">
        <f>8-questionnaire!H231</f>
        <v>8</v>
      </c>
      <c r="I231" s="9">
        <f>C231*10+D231*5+E231*1.66-(questionnaire!F231*1.66+questionnaire!G231*5+questionnaire!H231*10)</f>
        <v>0</v>
      </c>
    </row>
    <row r="232">
      <c r="A232" s="8" t="str">
        <f>questionnaire!A232</f>
        <v/>
      </c>
      <c r="B232" s="9" t="str">
        <f>questionnaire!B232</f>
        <v/>
      </c>
      <c r="C232" s="9" t="str">
        <f>questionnaire!C232</f>
        <v/>
      </c>
      <c r="D232" s="9" t="str">
        <f>questionnaire!D232</f>
        <v/>
      </c>
      <c r="E232" s="9" t="str">
        <f>questionnaire!E232</f>
        <v/>
      </c>
      <c r="F232" s="9">
        <f>8-questionnaire!F232</f>
        <v>8</v>
      </c>
      <c r="G232" s="9">
        <f>8-questionnaire!G232</f>
        <v>8</v>
      </c>
      <c r="H232" s="9">
        <f>8-questionnaire!H232</f>
        <v>8</v>
      </c>
      <c r="I232" s="9">
        <f>C232*10+D232*5+E232*1.66-(questionnaire!F232*1.66+questionnaire!G232*5+questionnaire!H232*10)</f>
        <v>0</v>
      </c>
    </row>
    <row r="233">
      <c r="A233" s="8" t="str">
        <f>questionnaire!A233</f>
        <v/>
      </c>
      <c r="B233" s="9" t="str">
        <f>questionnaire!B233</f>
        <v/>
      </c>
      <c r="C233" s="9" t="str">
        <f>questionnaire!C233</f>
        <v/>
      </c>
      <c r="D233" s="9" t="str">
        <f>questionnaire!D233</f>
        <v/>
      </c>
      <c r="E233" s="9" t="str">
        <f>questionnaire!E233</f>
        <v/>
      </c>
      <c r="F233" s="9">
        <f>8-questionnaire!F233</f>
        <v>8</v>
      </c>
      <c r="G233" s="9">
        <f>8-questionnaire!G233</f>
        <v>8</v>
      </c>
      <c r="H233" s="9">
        <f>8-questionnaire!H233</f>
        <v>8</v>
      </c>
      <c r="I233" s="9">
        <f>C233*10+D233*5+E233*1.66-(questionnaire!F233*1.66+questionnaire!G233*5+questionnaire!H233*10)</f>
        <v>0</v>
      </c>
    </row>
    <row r="234">
      <c r="A234" s="8" t="str">
        <f>questionnaire!A234</f>
        <v/>
      </c>
      <c r="B234" s="9" t="str">
        <f>questionnaire!B234</f>
        <v/>
      </c>
      <c r="C234" s="9" t="str">
        <f>questionnaire!C234</f>
        <v/>
      </c>
      <c r="D234" s="9" t="str">
        <f>questionnaire!D234</f>
        <v/>
      </c>
      <c r="E234" s="9" t="str">
        <f>questionnaire!E234</f>
        <v/>
      </c>
      <c r="F234" s="9">
        <f>8-questionnaire!F234</f>
        <v>8</v>
      </c>
      <c r="G234" s="9">
        <f>8-questionnaire!G234</f>
        <v>8</v>
      </c>
      <c r="H234" s="9">
        <f>8-questionnaire!H234</f>
        <v>8</v>
      </c>
      <c r="I234" s="9">
        <f>C234*10+D234*5+E234*1.66-(questionnaire!F234*1.66+questionnaire!G234*5+questionnaire!H234*10)</f>
        <v>0</v>
      </c>
    </row>
    <row r="235">
      <c r="A235" s="8" t="str">
        <f>questionnaire!A235</f>
        <v/>
      </c>
      <c r="B235" s="9" t="str">
        <f>questionnaire!B235</f>
        <v/>
      </c>
      <c r="C235" s="9" t="str">
        <f>questionnaire!C235</f>
        <v/>
      </c>
      <c r="D235" s="9" t="str">
        <f>questionnaire!D235</f>
        <v/>
      </c>
      <c r="E235" s="9" t="str">
        <f>questionnaire!E235</f>
        <v/>
      </c>
      <c r="F235" s="9">
        <f>8-questionnaire!F235</f>
        <v>8</v>
      </c>
      <c r="G235" s="9">
        <f>8-questionnaire!G235</f>
        <v>8</v>
      </c>
      <c r="H235" s="9">
        <f>8-questionnaire!H235</f>
        <v>8</v>
      </c>
      <c r="I235" s="9">
        <f>C235*10+D235*5+E235*1.66-(questionnaire!F235*1.66+questionnaire!G235*5+questionnaire!H235*10)</f>
        <v>0</v>
      </c>
    </row>
    <row r="236">
      <c r="A236" s="8" t="str">
        <f>questionnaire!A236</f>
        <v/>
      </c>
      <c r="B236" s="9" t="str">
        <f>questionnaire!B236</f>
        <v/>
      </c>
      <c r="C236" s="9" t="str">
        <f>questionnaire!C236</f>
        <v/>
      </c>
      <c r="D236" s="9" t="str">
        <f>questionnaire!D236</f>
        <v/>
      </c>
      <c r="E236" s="9" t="str">
        <f>questionnaire!E236</f>
        <v/>
      </c>
      <c r="F236" s="9">
        <f>8-questionnaire!F236</f>
        <v>8</v>
      </c>
      <c r="G236" s="9">
        <f>8-questionnaire!G236</f>
        <v>8</v>
      </c>
      <c r="H236" s="9">
        <f>8-questionnaire!H236</f>
        <v>8</v>
      </c>
      <c r="I236" s="9">
        <f>C236*10+D236*5+E236*1.66-(questionnaire!F236*1.66+questionnaire!G236*5+questionnaire!H236*10)</f>
        <v>0</v>
      </c>
    </row>
    <row r="237">
      <c r="A237" s="8" t="str">
        <f>questionnaire!A237</f>
        <v/>
      </c>
      <c r="B237" s="9" t="str">
        <f>questionnaire!B237</f>
        <v/>
      </c>
      <c r="C237" s="9" t="str">
        <f>questionnaire!C237</f>
        <v/>
      </c>
      <c r="D237" s="9" t="str">
        <f>questionnaire!D237</f>
        <v/>
      </c>
      <c r="E237" s="9" t="str">
        <f>questionnaire!E237</f>
        <v/>
      </c>
      <c r="F237" s="9">
        <f>8-questionnaire!F237</f>
        <v>8</v>
      </c>
      <c r="G237" s="9">
        <f>8-questionnaire!G237</f>
        <v>8</v>
      </c>
      <c r="H237" s="9">
        <f>8-questionnaire!H237</f>
        <v>8</v>
      </c>
      <c r="I237" s="9">
        <f>C237*10+D237*5+E237*1.66-(questionnaire!F237*1.66+questionnaire!G237*5+questionnaire!H237*10)</f>
        <v>0</v>
      </c>
    </row>
    <row r="238">
      <c r="A238" s="8" t="str">
        <f>questionnaire!A238</f>
        <v/>
      </c>
      <c r="B238" s="9" t="str">
        <f>questionnaire!B238</f>
        <v/>
      </c>
      <c r="C238" s="9" t="str">
        <f>questionnaire!C238</f>
        <v/>
      </c>
      <c r="D238" s="9" t="str">
        <f>questionnaire!D238</f>
        <v/>
      </c>
      <c r="E238" s="9" t="str">
        <f>questionnaire!E238</f>
        <v/>
      </c>
      <c r="F238" s="9">
        <f>8-questionnaire!F238</f>
        <v>8</v>
      </c>
      <c r="G238" s="9">
        <f>8-questionnaire!G238</f>
        <v>8</v>
      </c>
      <c r="H238" s="9">
        <f>8-questionnaire!H238</f>
        <v>8</v>
      </c>
      <c r="I238" s="9">
        <f>C238*10+D238*5+E238*1.66-(questionnaire!F238*1.66+questionnaire!G238*5+questionnaire!H238*10)</f>
        <v>0</v>
      </c>
    </row>
    <row r="239">
      <c r="A239" s="8" t="str">
        <f>questionnaire!A239</f>
        <v/>
      </c>
      <c r="B239" s="9" t="str">
        <f>questionnaire!B239</f>
        <v/>
      </c>
      <c r="C239" s="9" t="str">
        <f>questionnaire!C239</f>
        <v/>
      </c>
      <c r="D239" s="9" t="str">
        <f>questionnaire!D239</f>
        <v/>
      </c>
      <c r="E239" s="9" t="str">
        <f>questionnaire!E239</f>
        <v/>
      </c>
      <c r="F239" s="9">
        <f>8-questionnaire!F239</f>
        <v>8</v>
      </c>
      <c r="G239" s="9">
        <f>8-questionnaire!G239</f>
        <v>8</v>
      </c>
      <c r="H239" s="9">
        <f>8-questionnaire!H239</f>
        <v>8</v>
      </c>
      <c r="I239" s="9">
        <f>C239*10+D239*5+E239*1.66-(questionnaire!F239*1.66+questionnaire!G239*5+questionnaire!H239*10)</f>
        <v>0</v>
      </c>
    </row>
    <row r="240">
      <c r="A240" s="8" t="str">
        <f>questionnaire!A240</f>
        <v/>
      </c>
      <c r="B240" s="9" t="str">
        <f>questionnaire!B240</f>
        <v/>
      </c>
      <c r="C240" s="9" t="str">
        <f>questionnaire!C240</f>
        <v/>
      </c>
      <c r="D240" s="9" t="str">
        <f>questionnaire!D240</f>
        <v/>
      </c>
      <c r="E240" s="9" t="str">
        <f>questionnaire!E240</f>
        <v/>
      </c>
      <c r="F240" s="9">
        <f>8-questionnaire!F240</f>
        <v>8</v>
      </c>
      <c r="G240" s="9">
        <f>8-questionnaire!G240</f>
        <v>8</v>
      </c>
      <c r="H240" s="9">
        <f>8-questionnaire!H240</f>
        <v>8</v>
      </c>
      <c r="I240" s="9">
        <f>C240*10+D240*5+E240*1.66-(questionnaire!F240*1.66+questionnaire!G240*5+questionnaire!H240*10)</f>
        <v>0</v>
      </c>
    </row>
    <row r="241">
      <c r="A241" s="8" t="str">
        <f>questionnaire!A241</f>
        <v/>
      </c>
      <c r="B241" s="9" t="str">
        <f>questionnaire!B241</f>
        <v/>
      </c>
      <c r="C241" s="9" t="str">
        <f>questionnaire!C241</f>
        <v/>
      </c>
      <c r="D241" s="9" t="str">
        <f>questionnaire!D241</f>
        <v/>
      </c>
      <c r="E241" s="9" t="str">
        <f>questionnaire!E241</f>
        <v/>
      </c>
      <c r="F241" s="9">
        <f>8-questionnaire!F241</f>
        <v>8</v>
      </c>
      <c r="G241" s="9">
        <f>8-questionnaire!G241</f>
        <v>8</v>
      </c>
      <c r="H241" s="9">
        <f>8-questionnaire!H241</f>
        <v>8</v>
      </c>
      <c r="I241" s="9">
        <f>C241*10+D241*5+E241*1.66-(questionnaire!F241*1.66+questionnaire!G241*5+questionnaire!H241*10)</f>
        <v>0</v>
      </c>
    </row>
    <row r="242">
      <c r="A242" s="8" t="str">
        <f>questionnaire!A242</f>
        <v/>
      </c>
      <c r="B242" s="9" t="str">
        <f>questionnaire!B242</f>
        <v/>
      </c>
      <c r="C242" s="9" t="str">
        <f>questionnaire!C242</f>
        <v/>
      </c>
      <c r="D242" s="9" t="str">
        <f>questionnaire!D242</f>
        <v/>
      </c>
      <c r="E242" s="9" t="str">
        <f>questionnaire!E242</f>
        <v/>
      </c>
      <c r="F242" s="9">
        <f>8-questionnaire!F242</f>
        <v>8</v>
      </c>
      <c r="G242" s="9">
        <f>8-questionnaire!G242</f>
        <v>8</v>
      </c>
      <c r="H242" s="9">
        <f>8-questionnaire!H242</f>
        <v>8</v>
      </c>
      <c r="I242" s="9">
        <f>C242*10+D242*5+E242*1.66-(questionnaire!F242*1.66+questionnaire!G242*5+questionnaire!H242*10)</f>
        <v>0</v>
      </c>
    </row>
    <row r="243">
      <c r="A243" s="8" t="str">
        <f>questionnaire!A243</f>
        <v/>
      </c>
      <c r="B243" s="9" t="str">
        <f>questionnaire!B243</f>
        <v/>
      </c>
      <c r="C243" s="9" t="str">
        <f>questionnaire!C243</f>
        <v/>
      </c>
      <c r="D243" s="9" t="str">
        <f>questionnaire!D243</f>
        <v/>
      </c>
      <c r="E243" s="9" t="str">
        <f>questionnaire!E243</f>
        <v/>
      </c>
      <c r="F243" s="9">
        <f>8-questionnaire!F243</f>
        <v>8</v>
      </c>
      <c r="G243" s="9">
        <f>8-questionnaire!G243</f>
        <v>8</v>
      </c>
      <c r="H243" s="9">
        <f>8-questionnaire!H243</f>
        <v>8</v>
      </c>
      <c r="I243" s="9">
        <f>C243*10+D243*5+E243*1.66-(questionnaire!F243*1.66+questionnaire!G243*5+questionnaire!H243*10)</f>
        <v>0</v>
      </c>
    </row>
    <row r="244">
      <c r="A244" s="8" t="str">
        <f>questionnaire!A244</f>
        <v/>
      </c>
      <c r="B244" s="9" t="str">
        <f>questionnaire!B244</f>
        <v/>
      </c>
      <c r="C244" s="9" t="str">
        <f>questionnaire!C244</f>
        <v/>
      </c>
      <c r="D244" s="9" t="str">
        <f>questionnaire!D244</f>
        <v/>
      </c>
      <c r="E244" s="9" t="str">
        <f>questionnaire!E244</f>
        <v/>
      </c>
      <c r="F244" s="9">
        <f>8-questionnaire!F244</f>
        <v>8</v>
      </c>
      <c r="G244" s="9">
        <f>8-questionnaire!G244</f>
        <v>8</v>
      </c>
      <c r="H244" s="9">
        <f>8-questionnaire!H244</f>
        <v>8</v>
      </c>
      <c r="I244" s="9">
        <f>C244*10+D244*5+E244*1.66-(questionnaire!F244*1.66+questionnaire!G244*5+questionnaire!H244*10)</f>
        <v>0</v>
      </c>
    </row>
    <row r="245">
      <c r="A245" s="8" t="str">
        <f>questionnaire!A245</f>
        <v/>
      </c>
      <c r="B245" s="9" t="str">
        <f>questionnaire!B245</f>
        <v/>
      </c>
      <c r="C245" s="9" t="str">
        <f>questionnaire!C245</f>
        <v/>
      </c>
      <c r="D245" s="9" t="str">
        <f>questionnaire!D245</f>
        <v/>
      </c>
      <c r="E245" s="9" t="str">
        <f>questionnaire!E245</f>
        <v/>
      </c>
      <c r="F245" s="9">
        <f>8-questionnaire!F245</f>
        <v>8</v>
      </c>
      <c r="G245" s="9">
        <f>8-questionnaire!G245</f>
        <v>8</v>
      </c>
      <c r="H245" s="9">
        <f>8-questionnaire!H245</f>
        <v>8</v>
      </c>
      <c r="I245" s="9">
        <f>C245*10+D245*5+E245*1.66-(questionnaire!F245*1.66+questionnaire!G245*5+questionnaire!H245*10)</f>
        <v>0</v>
      </c>
    </row>
    <row r="246">
      <c r="A246" s="8" t="str">
        <f>questionnaire!A246</f>
        <v/>
      </c>
      <c r="B246" s="9" t="str">
        <f>questionnaire!B246</f>
        <v/>
      </c>
      <c r="C246" s="9" t="str">
        <f>questionnaire!C246</f>
        <v/>
      </c>
      <c r="D246" s="9" t="str">
        <f>questionnaire!D246</f>
        <v/>
      </c>
      <c r="E246" s="9" t="str">
        <f>questionnaire!E246</f>
        <v/>
      </c>
      <c r="F246" s="9">
        <f>8-questionnaire!F246</f>
        <v>8</v>
      </c>
      <c r="G246" s="9">
        <f>8-questionnaire!G246</f>
        <v>8</v>
      </c>
      <c r="H246" s="9">
        <f>8-questionnaire!H246</f>
        <v>8</v>
      </c>
      <c r="I246" s="9">
        <f>C246*10+D246*5+E246*1.66-(questionnaire!F246*1.66+questionnaire!G246*5+questionnaire!H246*10)</f>
        <v>0</v>
      </c>
    </row>
    <row r="247">
      <c r="A247" s="8" t="str">
        <f>questionnaire!A247</f>
        <v/>
      </c>
      <c r="B247" s="9" t="str">
        <f>questionnaire!B247</f>
        <v/>
      </c>
      <c r="C247" s="9" t="str">
        <f>questionnaire!C247</f>
        <v/>
      </c>
      <c r="D247" s="9" t="str">
        <f>questionnaire!D247</f>
        <v/>
      </c>
      <c r="E247" s="9" t="str">
        <f>questionnaire!E247</f>
        <v/>
      </c>
      <c r="F247" s="9">
        <f>8-questionnaire!F247</f>
        <v>8</v>
      </c>
      <c r="G247" s="9">
        <f>8-questionnaire!G247</f>
        <v>8</v>
      </c>
      <c r="H247" s="9">
        <f>8-questionnaire!H247</f>
        <v>8</v>
      </c>
      <c r="I247" s="9">
        <f>C247*10+D247*5+E247*1.66-(questionnaire!F247*1.66+questionnaire!G247*5+questionnaire!H247*10)</f>
        <v>0</v>
      </c>
    </row>
    <row r="248">
      <c r="A248" s="8" t="str">
        <f>questionnaire!A248</f>
        <v/>
      </c>
      <c r="B248" s="9" t="str">
        <f>questionnaire!B248</f>
        <v/>
      </c>
      <c r="C248" s="9" t="str">
        <f>questionnaire!C248</f>
        <v/>
      </c>
      <c r="D248" s="9" t="str">
        <f>questionnaire!D248</f>
        <v/>
      </c>
      <c r="E248" s="9" t="str">
        <f>questionnaire!E248</f>
        <v/>
      </c>
      <c r="F248" s="9">
        <f>8-questionnaire!F248</f>
        <v>8</v>
      </c>
      <c r="G248" s="9">
        <f>8-questionnaire!G248</f>
        <v>8</v>
      </c>
      <c r="H248" s="9">
        <f>8-questionnaire!H248</f>
        <v>8</v>
      </c>
      <c r="I248" s="9">
        <f>C248*10+D248*5+E248*1.66-(questionnaire!F248*1.66+questionnaire!G248*5+questionnaire!H248*10)</f>
        <v>0</v>
      </c>
    </row>
    <row r="249">
      <c r="A249" s="8" t="str">
        <f>questionnaire!A249</f>
        <v/>
      </c>
      <c r="B249" s="9" t="str">
        <f>questionnaire!B249</f>
        <v/>
      </c>
      <c r="C249" s="9" t="str">
        <f>questionnaire!C249</f>
        <v/>
      </c>
      <c r="D249" s="9" t="str">
        <f>questionnaire!D249</f>
        <v/>
      </c>
      <c r="E249" s="9" t="str">
        <f>questionnaire!E249</f>
        <v/>
      </c>
      <c r="F249" s="9">
        <f>8-questionnaire!F249</f>
        <v>8</v>
      </c>
      <c r="G249" s="9">
        <f>8-questionnaire!G249</f>
        <v>8</v>
      </c>
      <c r="H249" s="9">
        <f>8-questionnaire!H249</f>
        <v>8</v>
      </c>
      <c r="I249" s="9">
        <f>C249*10+D249*5+E249*1.66-(questionnaire!F249*1.66+questionnaire!G249*5+questionnaire!H249*10)</f>
        <v>0</v>
      </c>
    </row>
    <row r="250">
      <c r="A250" s="8" t="str">
        <f>questionnaire!A250</f>
        <v/>
      </c>
      <c r="B250" s="9" t="str">
        <f>questionnaire!B250</f>
        <v/>
      </c>
      <c r="C250" s="9" t="str">
        <f>questionnaire!C250</f>
        <v/>
      </c>
      <c r="D250" s="9" t="str">
        <f>questionnaire!D250</f>
        <v/>
      </c>
      <c r="E250" s="9" t="str">
        <f>questionnaire!E250</f>
        <v/>
      </c>
      <c r="F250" s="9">
        <f>8-questionnaire!F250</f>
        <v>8</v>
      </c>
      <c r="G250" s="9">
        <f>8-questionnaire!G250</f>
        <v>8</v>
      </c>
      <c r="H250" s="9">
        <f>8-questionnaire!H250</f>
        <v>8</v>
      </c>
      <c r="I250" s="9">
        <f>C250*10+D250*5+E250*1.66-(questionnaire!F250*1.66+questionnaire!G250*5+questionnaire!H250*10)</f>
        <v>0</v>
      </c>
    </row>
    <row r="251">
      <c r="A251" s="8" t="str">
        <f>questionnaire!A251</f>
        <v/>
      </c>
      <c r="B251" s="9" t="str">
        <f>questionnaire!B251</f>
        <v/>
      </c>
      <c r="C251" s="9" t="str">
        <f>questionnaire!C251</f>
        <v/>
      </c>
      <c r="D251" s="9" t="str">
        <f>questionnaire!D251</f>
        <v/>
      </c>
      <c r="E251" s="9" t="str">
        <f>questionnaire!E251</f>
        <v/>
      </c>
      <c r="F251" s="9">
        <f>8-questionnaire!F251</f>
        <v>8</v>
      </c>
      <c r="G251" s="9">
        <f>8-questionnaire!G251</f>
        <v>8</v>
      </c>
      <c r="H251" s="9">
        <f>8-questionnaire!H251</f>
        <v>8</v>
      </c>
      <c r="I251" s="9">
        <f>C251*10+D251*5+E251*1.66-(questionnaire!F251*1.66+questionnaire!G251*5+questionnaire!H251*10)</f>
        <v>0</v>
      </c>
    </row>
    <row r="252">
      <c r="A252" s="8" t="str">
        <f>questionnaire!A252</f>
        <v/>
      </c>
      <c r="B252" s="9" t="str">
        <f>questionnaire!B252</f>
        <v/>
      </c>
      <c r="C252" s="9" t="str">
        <f>questionnaire!C252</f>
        <v/>
      </c>
      <c r="D252" s="9" t="str">
        <f>questionnaire!D252</f>
        <v/>
      </c>
      <c r="E252" s="9" t="str">
        <f>questionnaire!E252</f>
        <v/>
      </c>
      <c r="F252" s="9">
        <f>8-questionnaire!F252</f>
        <v>8</v>
      </c>
      <c r="G252" s="9">
        <f>8-questionnaire!G252</f>
        <v>8</v>
      </c>
      <c r="H252" s="9">
        <f>8-questionnaire!H252</f>
        <v>8</v>
      </c>
      <c r="I252" s="9">
        <f>C252*10+D252*5+E252*1.66-(questionnaire!F252*1.66+questionnaire!G252*5+questionnaire!H252*10)</f>
        <v>0</v>
      </c>
    </row>
    <row r="253">
      <c r="A253" s="8" t="str">
        <f>questionnaire!A253</f>
        <v/>
      </c>
      <c r="B253" s="9" t="str">
        <f>questionnaire!B253</f>
        <v/>
      </c>
      <c r="C253" s="9" t="str">
        <f>questionnaire!C253</f>
        <v/>
      </c>
      <c r="D253" s="9" t="str">
        <f>questionnaire!D253</f>
        <v/>
      </c>
      <c r="E253" s="9" t="str">
        <f>questionnaire!E253</f>
        <v/>
      </c>
      <c r="F253" s="9">
        <f>8-questionnaire!F253</f>
        <v>8</v>
      </c>
      <c r="G253" s="9">
        <f>8-questionnaire!G253</f>
        <v>8</v>
      </c>
      <c r="H253" s="9">
        <f>8-questionnaire!H253</f>
        <v>8</v>
      </c>
      <c r="I253" s="9">
        <f>C253*10+D253*5+E253*1.66-(questionnaire!F253*1.66+questionnaire!G253*5+questionnaire!H253*10)</f>
        <v>0</v>
      </c>
    </row>
    <row r="254">
      <c r="A254" s="8" t="str">
        <f>questionnaire!A254</f>
        <v/>
      </c>
      <c r="B254" s="9" t="str">
        <f>questionnaire!B254</f>
        <v/>
      </c>
      <c r="C254" s="9" t="str">
        <f>questionnaire!C254</f>
        <v/>
      </c>
      <c r="D254" s="9" t="str">
        <f>questionnaire!D254</f>
        <v/>
      </c>
      <c r="E254" s="9" t="str">
        <f>questionnaire!E254</f>
        <v/>
      </c>
      <c r="F254" s="9">
        <f>8-questionnaire!F254</f>
        <v>8</v>
      </c>
      <c r="G254" s="9">
        <f>8-questionnaire!G254</f>
        <v>8</v>
      </c>
      <c r="H254" s="9">
        <f>8-questionnaire!H254</f>
        <v>8</v>
      </c>
      <c r="I254" s="9">
        <f>C254*10+D254*5+E254*1.66-(questionnaire!F254*1.66+questionnaire!G254*5+questionnaire!H254*10)</f>
        <v>0</v>
      </c>
    </row>
    <row r="255">
      <c r="A255" s="8" t="str">
        <f>questionnaire!A255</f>
        <v/>
      </c>
      <c r="B255" s="9" t="str">
        <f>questionnaire!B255</f>
        <v/>
      </c>
      <c r="C255" s="9" t="str">
        <f>questionnaire!C255</f>
        <v/>
      </c>
      <c r="D255" s="9" t="str">
        <f>questionnaire!D255</f>
        <v/>
      </c>
      <c r="E255" s="9" t="str">
        <f>questionnaire!E255</f>
        <v/>
      </c>
      <c r="F255" s="9">
        <f>8-questionnaire!F255</f>
        <v>8</v>
      </c>
      <c r="G255" s="9">
        <f>8-questionnaire!G255</f>
        <v>8</v>
      </c>
      <c r="H255" s="9">
        <f>8-questionnaire!H255</f>
        <v>8</v>
      </c>
      <c r="I255" s="9">
        <f>C255*10+D255*5+E255*1.66-(questionnaire!F255*1.66+questionnaire!G255*5+questionnaire!H255*10)</f>
        <v>0</v>
      </c>
    </row>
    <row r="256">
      <c r="A256" s="8" t="str">
        <f>questionnaire!A256</f>
        <v/>
      </c>
      <c r="B256" s="9" t="str">
        <f>questionnaire!B256</f>
        <v/>
      </c>
      <c r="C256" s="9" t="str">
        <f>questionnaire!C256</f>
        <v/>
      </c>
      <c r="D256" s="9" t="str">
        <f>questionnaire!D256</f>
        <v/>
      </c>
      <c r="E256" s="9" t="str">
        <f>questionnaire!E256</f>
        <v/>
      </c>
      <c r="F256" s="9">
        <f>8-questionnaire!F256</f>
        <v>8</v>
      </c>
      <c r="G256" s="9">
        <f>8-questionnaire!G256</f>
        <v>8</v>
      </c>
      <c r="H256" s="9">
        <f>8-questionnaire!H256</f>
        <v>8</v>
      </c>
      <c r="I256" s="9">
        <f>C256*10+D256*5+E256*1.66-(questionnaire!F256*1.66+questionnaire!G256*5+questionnaire!H256*10)</f>
        <v>0</v>
      </c>
    </row>
    <row r="257">
      <c r="A257" s="8" t="str">
        <f>questionnaire!A257</f>
        <v/>
      </c>
      <c r="B257" s="9" t="str">
        <f>questionnaire!B257</f>
        <v/>
      </c>
      <c r="C257" s="9" t="str">
        <f>questionnaire!C257</f>
        <v/>
      </c>
      <c r="D257" s="9" t="str">
        <f>questionnaire!D257</f>
        <v/>
      </c>
      <c r="E257" s="9" t="str">
        <f>questionnaire!E257</f>
        <v/>
      </c>
      <c r="F257" s="9">
        <f>8-questionnaire!F257</f>
        <v>8</v>
      </c>
      <c r="G257" s="9">
        <f>8-questionnaire!G257</f>
        <v>8</v>
      </c>
      <c r="H257" s="9">
        <f>8-questionnaire!H257</f>
        <v>8</v>
      </c>
      <c r="I257" s="9">
        <f>C257*10+D257*5+E257*1.66-(questionnaire!F257*1.66+questionnaire!G257*5+questionnaire!H257*10)</f>
        <v>0</v>
      </c>
    </row>
    <row r="258">
      <c r="A258" s="8" t="str">
        <f>questionnaire!A258</f>
        <v/>
      </c>
      <c r="B258" s="9" t="str">
        <f>questionnaire!B258</f>
        <v/>
      </c>
      <c r="C258" s="9" t="str">
        <f>questionnaire!C258</f>
        <v/>
      </c>
      <c r="D258" s="9" t="str">
        <f>questionnaire!D258</f>
        <v/>
      </c>
      <c r="E258" s="9" t="str">
        <f>questionnaire!E258</f>
        <v/>
      </c>
      <c r="F258" s="9">
        <f>8-questionnaire!F258</f>
        <v>8</v>
      </c>
      <c r="G258" s="9">
        <f>8-questionnaire!G258</f>
        <v>8</v>
      </c>
      <c r="H258" s="9">
        <f>8-questionnaire!H258</f>
        <v>8</v>
      </c>
      <c r="I258" s="9">
        <f>C258*10+D258*5+E258*1.66-(questionnaire!F258*1.66+questionnaire!G258*5+questionnaire!H258*10)</f>
        <v>0</v>
      </c>
    </row>
    <row r="259">
      <c r="A259" s="8" t="str">
        <f>questionnaire!A259</f>
        <v/>
      </c>
      <c r="B259" s="9" t="str">
        <f>questionnaire!B259</f>
        <v/>
      </c>
      <c r="C259" s="9" t="str">
        <f>questionnaire!C259</f>
        <v/>
      </c>
      <c r="D259" s="9" t="str">
        <f>questionnaire!D259</f>
        <v/>
      </c>
      <c r="E259" s="9" t="str">
        <f>questionnaire!E259</f>
        <v/>
      </c>
      <c r="F259" s="9">
        <f>8-questionnaire!F259</f>
        <v>8</v>
      </c>
      <c r="G259" s="9">
        <f>8-questionnaire!G259</f>
        <v>8</v>
      </c>
      <c r="H259" s="9">
        <f>8-questionnaire!H259</f>
        <v>8</v>
      </c>
      <c r="I259" s="9">
        <f>C259*10+D259*5+E259*1.66-(questionnaire!F259*1.66+questionnaire!G259*5+questionnaire!H259*10)</f>
        <v>0</v>
      </c>
    </row>
    <row r="260">
      <c r="A260" s="8" t="str">
        <f>questionnaire!A260</f>
        <v/>
      </c>
      <c r="B260" s="9" t="str">
        <f>questionnaire!B260</f>
        <v/>
      </c>
      <c r="C260" s="9" t="str">
        <f>questionnaire!C260</f>
        <v/>
      </c>
      <c r="D260" s="9" t="str">
        <f>questionnaire!D260</f>
        <v/>
      </c>
      <c r="E260" s="9" t="str">
        <f>questionnaire!E260</f>
        <v/>
      </c>
      <c r="F260" s="9">
        <f>8-questionnaire!F260</f>
        <v>8</v>
      </c>
      <c r="G260" s="9">
        <f>8-questionnaire!G260</f>
        <v>8</v>
      </c>
      <c r="H260" s="9">
        <f>8-questionnaire!H260</f>
        <v>8</v>
      </c>
      <c r="I260" s="9">
        <f>C260*10+D260*5+E260*1.66-(questionnaire!F260*1.66+questionnaire!G260*5+questionnaire!H260*10)</f>
        <v>0</v>
      </c>
    </row>
    <row r="261">
      <c r="A261" s="8" t="str">
        <f>questionnaire!A261</f>
        <v/>
      </c>
      <c r="B261" s="9" t="str">
        <f>questionnaire!B261</f>
        <v/>
      </c>
      <c r="C261" s="9" t="str">
        <f>questionnaire!C261</f>
        <v/>
      </c>
      <c r="D261" s="9" t="str">
        <f>questionnaire!D261</f>
        <v/>
      </c>
      <c r="E261" s="9" t="str">
        <f>questionnaire!E261</f>
        <v/>
      </c>
      <c r="F261" s="9">
        <f>8-questionnaire!F261</f>
        <v>8</v>
      </c>
      <c r="G261" s="9">
        <f>8-questionnaire!G261</f>
        <v>8</v>
      </c>
      <c r="H261" s="9">
        <f>8-questionnaire!H261</f>
        <v>8</v>
      </c>
      <c r="I261" s="9">
        <f>C261*10+D261*5+E261*1.66-(questionnaire!F261*1.66+questionnaire!G261*5+questionnaire!H261*10)</f>
        <v>0</v>
      </c>
    </row>
    <row r="262">
      <c r="A262" s="8" t="str">
        <f>questionnaire!A262</f>
        <v/>
      </c>
      <c r="B262" s="9" t="str">
        <f>questionnaire!B262</f>
        <v/>
      </c>
      <c r="C262" s="9" t="str">
        <f>questionnaire!C262</f>
        <v/>
      </c>
      <c r="D262" s="9" t="str">
        <f>questionnaire!D262</f>
        <v/>
      </c>
      <c r="E262" s="9" t="str">
        <f>questionnaire!E262</f>
        <v/>
      </c>
      <c r="F262" s="9">
        <f>8-questionnaire!F262</f>
        <v>8</v>
      </c>
      <c r="G262" s="9">
        <f>8-questionnaire!G262</f>
        <v>8</v>
      </c>
      <c r="H262" s="9">
        <f>8-questionnaire!H262</f>
        <v>8</v>
      </c>
      <c r="I262" s="9">
        <f>C262*10+D262*5+E262*1.66-(questionnaire!F262*1.66+questionnaire!G262*5+questionnaire!H262*10)</f>
        <v>0</v>
      </c>
    </row>
    <row r="263">
      <c r="A263" s="8" t="str">
        <f>questionnaire!A263</f>
        <v/>
      </c>
      <c r="B263" s="9" t="str">
        <f>questionnaire!B263</f>
        <v/>
      </c>
      <c r="C263" s="9" t="str">
        <f>questionnaire!C263</f>
        <v/>
      </c>
      <c r="D263" s="9" t="str">
        <f>questionnaire!D263</f>
        <v/>
      </c>
      <c r="E263" s="9" t="str">
        <f>questionnaire!E263</f>
        <v/>
      </c>
      <c r="F263" s="9">
        <f>8-questionnaire!F263</f>
        <v>8</v>
      </c>
      <c r="G263" s="9">
        <f>8-questionnaire!G263</f>
        <v>8</v>
      </c>
      <c r="H263" s="9">
        <f>8-questionnaire!H263</f>
        <v>8</v>
      </c>
      <c r="I263" s="9">
        <f>C263*10+D263*5+E263*1.66-(questionnaire!F263*1.66+questionnaire!G263*5+questionnaire!H263*10)</f>
        <v>0</v>
      </c>
    </row>
    <row r="264">
      <c r="A264" s="8" t="str">
        <f>questionnaire!A264</f>
        <v/>
      </c>
      <c r="B264" s="9" t="str">
        <f>questionnaire!B264</f>
        <v/>
      </c>
      <c r="C264" s="9" t="str">
        <f>questionnaire!C264</f>
        <v/>
      </c>
      <c r="D264" s="9" t="str">
        <f>questionnaire!D264</f>
        <v/>
      </c>
      <c r="E264" s="9" t="str">
        <f>questionnaire!E264</f>
        <v/>
      </c>
      <c r="F264" s="9">
        <f>8-questionnaire!F264</f>
        <v>8</v>
      </c>
      <c r="G264" s="9">
        <f>8-questionnaire!G264</f>
        <v>8</v>
      </c>
      <c r="H264" s="9">
        <f>8-questionnaire!H264</f>
        <v>8</v>
      </c>
      <c r="I264" s="9">
        <f>C264*10+D264*5+E264*1.66-(questionnaire!F264*1.66+questionnaire!G264*5+questionnaire!H264*10)</f>
        <v>0</v>
      </c>
    </row>
    <row r="265">
      <c r="A265" s="8" t="str">
        <f>questionnaire!A265</f>
        <v/>
      </c>
      <c r="B265" s="9" t="str">
        <f>questionnaire!B265</f>
        <v/>
      </c>
      <c r="C265" s="9" t="str">
        <f>questionnaire!C265</f>
        <v/>
      </c>
      <c r="D265" s="9" t="str">
        <f>questionnaire!D265</f>
        <v/>
      </c>
      <c r="E265" s="9" t="str">
        <f>questionnaire!E265</f>
        <v/>
      </c>
      <c r="F265" s="9">
        <f>8-questionnaire!F265</f>
        <v>8</v>
      </c>
      <c r="G265" s="9">
        <f>8-questionnaire!G265</f>
        <v>8</v>
      </c>
      <c r="H265" s="9">
        <f>8-questionnaire!H265</f>
        <v>8</v>
      </c>
      <c r="I265" s="9">
        <f>C265*10+D265*5+E265*1.66-(questionnaire!F265*1.66+questionnaire!G265*5+questionnaire!H265*10)</f>
        <v>0</v>
      </c>
    </row>
    <row r="266">
      <c r="A266" s="8" t="str">
        <f>questionnaire!A266</f>
        <v/>
      </c>
      <c r="B266" s="9" t="str">
        <f>questionnaire!B266</f>
        <v/>
      </c>
      <c r="C266" s="9" t="str">
        <f>questionnaire!C266</f>
        <v/>
      </c>
      <c r="D266" s="9" t="str">
        <f>questionnaire!D266</f>
        <v/>
      </c>
      <c r="E266" s="9" t="str">
        <f>questionnaire!E266</f>
        <v/>
      </c>
      <c r="F266" s="9">
        <f>8-questionnaire!F266</f>
        <v>8</v>
      </c>
      <c r="G266" s="9">
        <f>8-questionnaire!G266</f>
        <v>8</v>
      </c>
      <c r="H266" s="9">
        <f>8-questionnaire!H266</f>
        <v>8</v>
      </c>
      <c r="I266" s="9">
        <f>C266*10+D266*5+E266*1.66-(questionnaire!F266*1.66+questionnaire!G266*5+questionnaire!H266*10)</f>
        <v>0</v>
      </c>
    </row>
    <row r="267">
      <c r="A267" s="8" t="str">
        <f>questionnaire!A267</f>
        <v/>
      </c>
      <c r="B267" s="9" t="str">
        <f>questionnaire!B267</f>
        <v/>
      </c>
      <c r="C267" s="9" t="str">
        <f>questionnaire!C267</f>
        <v/>
      </c>
      <c r="D267" s="9" t="str">
        <f>questionnaire!D267</f>
        <v/>
      </c>
      <c r="E267" s="9" t="str">
        <f>questionnaire!E267</f>
        <v/>
      </c>
      <c r="F267" s="9">
        <f>8-questionnaire!F267</f>
        <v>8</v>
      </c>
      <c r="G267" s="9">
        <f>8-questionnaire!G267</f>
        <v>8</v>
      </c>
      <c r="H267" s="9">
        <f>8-questionnaire!H267</f>
        <v>8</v>
      </c>
      <c r="I267" s="9">
        <f>C267*10+D267*5+E267*1.66-(questionnaire!F267*1.66+questionnaire!G267*5+questionnaire!H267*10)</f>
        <v>0</v>
      </c>
    </row>
    <row r="268">
      <c r="A268" s="8" t="str">
        <f>questionnaire!A268</f>
        <v/>
      </c>
      <c r="B268" s="9" t="str">
        <f>questionnaire!B268</f>
        <v/>
      </c>
      <c r="C268" s="9" t="str">
        <f>questionnaire!C268</f>
        <v/>
      </c>
      <c r="D268" s="9" t="str">
        <f>questionnaire!D268</f>
        <v/>
      </c>
      <c r="E268" s="9" t="str">
        <f>questionnaire!E268</f>
        <v/>
      </c>
      <c r="F268" s="9">
        <f>8-questionnaire!F268</f>
        <v>8</v>
      </c>
      <c r="G268" s="9">
        <f>8-questionnaire!G268</f>
        <v>8</v>
      </c>
      <c r="H268" s="9">
        <f>8-questionnaire!H268</f>
        <v>8</v>
      </c>
      <c r="I268" s="9">
        <f>C268*10+D268*5+E268*1.66-(questionnaire!F268*1.66+questionnaire!G268*5+questionnaire!H268*10)</f>
        <v>0</v>
      </c>
    </row>
    <row r="269">
      <c r="A269" s="8" t="str">
        <f>questionnaire!A269</f>
        <v/>
      </c>
      <c r="B269" s="9" t="str">
        <f>questionnaire!B269</f>
        <v/>
      </c>
      <c r="C269" s="9" t="str">
        <f>questionnaire!C269</f>
        <v/>
      </c>
      <c r="D269" s="9" t="str">
        <f>questionnaire!D269</f>
        <v/>
      </c>
      <c r="E269" s="9" t="str">
        <f>questionnaire!E269</f>
        <v/>
      </c>
      <c r="F269" s="9">
        <f>8-questionnaire!F269</f>
        <v>8</v>
      </c>
      <c r="G269" s="9">
        <f>8-questionnaire!G269</f>
        <v>8</v>
      </c>
      <c r="H269" s="9">
        <f>8-questionnaire!H269</f>
        <v>8</v>
      </c>
      <c r="I269" s="9">
        <f>C269*10+D269*5+E269*1.66-(questionnaire!F269*1.66+questionnaire!G269*5+questionnaire!H269*10)</f>
        <v>0</v>
      </c>
    </row>
    <row r="270">
      <c r="A270" s="8" t="str">
        <f>questionnaire!A270</f>
        <v/>
      </c>
      <c r="B270" s="9" t="str">
        <f>questionnaire!B270</f>
        <v/>
      </c>
      <c r="C270" s="9" t="str">
        <f>questionnaire!C270</f>
        <v/>
      </c>
      <c r="D270" s="9" t="str">
        <f>questionnaire!D270</f>
        <v/>
      </c>
      <c r="E270" s="9" t="str">
        <f>questionnaire!E270</f>
        <v/>
      </c>
      <c r="F270" s="9">
        <f>8-questionnaire!F270</f>
        <v>8</v>
      </c>
      <c r="G270" s="9">
        <f>8-questionnaire!G270</f>
        <v>8</v>
      </c>
      <c r="H270" s="9">
        <f>8-questionnaire!H270</f>
        <v>8</v>
      </c>
      <c r="I270" s="9">
        <f>C270*10+D270*5+E270*1.66-(questionnaire!F270*1.66+questionnaire!G270*5+questionnaire!H270*10)</f>
        <v>0</v>
      </c>
    </row>
    <row r="271">
      <c r="A271" s="8" t="str">
        <f>questionnaire!A271</f>
        <v/>
      </c>
      <c r="B271" s="9" t="str">
        <f>questionnaire!B271</f>
        <v/>
      </c>
      <c r="C271" s="9" t="str">
        <f>questionnaire!C271</f>
        <v/>
      </c>
      <c r="D271" s="9" t="str">
        <f>questionnaire!D271</f>
        <v/>
      </c>
      <c r="E271" s="9" t="str">
        <f>questionnaire!E271</f>
        <v/>
      </c>
      <c r="F271" s="9">
        <f>8-questionnaire!F271</f>
        <v>8</v>
      </c>
      <c r="G271" s="9">
        <f>8-questionnaire!G271</f>
        <v>8</v>
      </c>
      <c r="H271" s="9">
        <f>8-questionnaire!H271</f>
        <v>8</v>
      </c>
      <c r="I271" s="9">
        <f>C271*10+D271*5+E271*1.66-(questionnaire!F271*1.66+questionnaire!G271*5+questionnaire!H271*10)</f>
        <v>0</v>
      </c>
    </row>
    <row r="272">
      <c r="A272" s="8" t="str">
        <f>questionnaire!A272</f>
        <v/>
      </c>
      <c r="B272" s="9" t="str">
        <f>questionnaire!B272</f>
        <v/>
      </c>
      <c r="C272" s="9" t="str">
        <f>questionnaire!C272</f>
        <v/>
      </c>
      <c r="D272" s="9" t="str">
        <f>questionnaire!D272</f>
        <v/>
      </c>
      <c r="E272" s="9" t="str">
        <f>questionnaire!E272</f>
        <v/>
      </c>
      <c r="F272" s="9">
        <f>8-questionnaire!F272</f>
        <v>8</v>
      </c>
      <c r="G272" s="9">
        <f>8-questionnaire!G272</f>
        <v>8</v>
      </c>
      <c r="H272" s="9">
        <f>8-questionnaire!H272</f>
        <v>8</v>
      </c>
      <c r="I272" s="9">
        <f>C272*10+D272*5+E272*1.66-(questionnaire!F272*1.66+questionnaire!G272*5+questionnaire!H272*10)</f>
        <v>0</v>
      </c>
    </row>
    <row r="273">
      <c r="A273" s="8" t="str">
        <f>questionnaire!A273</f>
        <v/>
      </c>
      <c r="B273" s="9" t="str">
        <f>questionnaire!B273</f>
        <v/>
      </c>
      <c r="C273" s="9" t="str">
        <f>questionnaire!C273</f>
        <v/>
      </c>
      <c r="D273" s="9" t="str">
        <f>questionnaire!D273</f>
        <v/>
      </c>
      <c r="E273" s="9" t="str">
        <f>questionnaire!E273</f>
        <v/>
      </c>
      <c r="F273" s="9">
        <f>8-questionnaire!F273</f>
        <v>8</v>
      </c>
      <c r="G273" s="9">
        <f>8-questionnaire!G273</f>
        <v>8</v>
      </c>
      <c r="H273" s="9">
        <f>8-questionnaire!H273</f>
        <v>8</v>
      </c>
      <c r="I273" s="9">
        <f>C273*10+D273*5+E273*1.66-(questionnaire!F273*1.66+questionnaire!G273*5+questionnaire!H273*10)</f>
        <v>0</v>
      </c>
    </row>
    <row r="274">
      <c r="A274" s="8" t="str">
        <f>questionnaire!A274</f>
        <v/>
      </c>
      <c r="B274" s="9" t="str">
        <f>questionnaire!B274</f>
        <v/>
      </c>
      <c r="C274" s="9" t="str">
        <f>questionnaire!C274</f>
        <v/>
      </c>
      <c r="D274" s="9" t="str">
        <f>questionnaire!D274</f>
        <v/>
      </c>
      <c r="E274" s="9" t="str">
        <f>questionnaire!E274</f>
        <v/>
      </c>
      <c r="F274" s="9">
        <f>8-questionnaire!F274</f>
        <v>8</v>
      </c>
      <c r="G274" s="9">
        <f>8-questionnaire!G274</f>
        <v>8</v>
      </c>
      <c r="H274" s="9">
        <f>8-questionnaire!H274</f>
        <v>8</v>
      </c>
      <c r="I274" s="9">
        <f>C274*10+D274*5+E274*1.66-(questionnaire!F274*1.66+questionnaire!G274*5+questionnaire!H274*10)</f>
        <v>0</v>
      </c>
    </row>
    <row r="275">
      <c r="A275" s="8" t="str">
        <f>questionnaire!A275</f>
        <v/>
      </c>
      <c r="B275" s="9" t="str">
        <f>questionnaire!B275</f>
        <v/>
      </c>
      <c r="C275" s="9" t="str">
        <f>questionnaire!C275</f>
        <v/>
      </c>
      <c r="D275" s="9" t="str">
        <f>questionnaire!D275</f>
        <v/>
      </c>
      <c r="E275" s="9" t="str">
        <f>questionnaire!E275</f>
        <v/>
      </c>
      <c r="F275" s="9">
        <f>8-questionnaire!F275</f>
        <v>8</v>
      </c>
      <c r="G275" s="9">
        <f>8-questionnaire!G275</f>
        <v>8</v>
      </c>
      <c r="H275" s="9">
        <f>8-questionnaire!H275</f>
        <v>8</v>
      </c>
      <c r="I275" s="9">
        <f>C275*10+D275*5+E275*1.66-(questionnaire!F275*1.66+questionnaire!G275*5+questionnaire!H275*10)</f>
        <v>0</v>
      </c>
    </row>
    <row r="276">
      <c r="A276" s="8" t="str">
        <f>questionnaire!A276</f>
        <v/>
      </c>
      <c r="B276" s="9" t="str">
        <f>questionnaire!B276</f>
        <v/>
      </c>
      <c r="C276" s="9" t="str">
        <f>questionnaire!C276</f>
        <v/>
      </c>
      <c r="D276" s="9" t="str">
        <f>questionnaire!D276</f>
        <v/>
      </c>
      <c r="E276" s="9" t="str">
        <f>questionnaire!E276</f>
        <v/>
      </c>
      <c r="F276" s="9">
        <f>8-questionnaire!F276</f>
        <v>8</v>
      </c>
      <c r="G276" s="9">
        <f>8-questionnaire!G276</f>
        <v>8</v>
      </c>
      <c r="H276" s="9">
        <f>8-questionnaire!H276</f>
        <v>8</v>
      </c>
      <c r="I276" s="9">
        <f>C276*10+D276*5+E276*1.66-(questionnaire!F276*1.66+questionnaire!G276*5+questionnaire!H276*10)</f>
        <v>0</v>
      </c>
    </row>
    <row r="277">
      <c r="A277" s="8" t="str">
        <f>questionnaire!A277</f>
        <v/>
      </c>
      <c r="B277" s="9" t="str">
        <f>questionnaire!B277</f>
        <v/>
      </c>
      <c r="C277" s="9" t="str">
        <f>questionnaire!C277</f>
        <v/>
      </c>
      <c r="D277" s="9" t="str">
        <f>questionnaire!D277</f>
        <v/>
      </c>
      <c r="E277" s="9" t="str">
        <f>questionnaire!E277</f>
        <v/>
      </c>
      <c r="F277" s="9">
        <f>8-questionnaire!F277</f>
        <v>8</v>
      </c>
      <c r="G277" s="9">
        <f>8-questionnaire!G277</f>
        <v>8</v>
      </c>
      <c r="H277" s="9">
        <f>8-questionnaire!H277</f>
        <v>8</v>
      </c>
      <c r="I277" s="9">
        <f>C277*10+D277*5+E277*1.66-(questionnaire!F277*1.66+questionnaire!G277*5+questionnaire!H277*10)</f>
        <v>0</v>
      </c>
    </row>
    <row r="278">
      <c r="A278" s="8" t="str">
        <f>questionnaire!A278</f>
        <v/>
      </c>
      <c r="B278" s="9" t="str">
        <f>questionnaire!B278</f>
        <v/>
      </c>
      <c r="C278" s="9" t="str">
        <f>questionnaire!C278</f>
        <v/>
      </c>
      <c r="D278" s="9" t="str">
        <f>questionnaire!D278</f>
        <v/>
      </c>
      <c r="E278" s="9" t="str">
        <f>questionnaire!E278</f>
        <v/>
      </c>
      <c r="F278" s="9">
        <f>8-questionnaire!F278</f>
        <v>8</v>
      </c>
      <c r="G278" s="9">
        <f>8-questionnaire!G278</f>
        <v>8</v>
      </c>
      <c r="H278" s="9">
        <f>8-questionnaire!H278</f>
        <v>8</v>
      </c>
      <c r="I278" s="9">
        <f>C278*10+D278*5+E278*1.66-(questionnaire!F278*1.66+questionnaire!G278*5+questionnaire!H278*10)</f>
        <v>0</v>
      </c>
    </row>
    <row r="279">
      <c r="A279" s="8" t="str">
        <f>questionnaire!A279</f>
        <v/>
      </c>
      <c r="B279" s="9" t="str">
        <f>questionnaire!B279</f>
        <v/>
      </c>
      <c r="C279" s="9" t="str">
        <f>questionnaire!C279</f>
        <v/>
      </c>
      <c r="D279" s="9" t="str">
        <f>questionnaire!D279</f>
        <v/>
      </c>
      <c r="E279" s="9" t="str">
        <f>questionnaire!E279</f>
        <v/>
      </c>
      <c r="F279" s="9">
        <f>8-questionnaire!F279</f>
        <v>8</v>
      </c>
      <c r="G279" s="9">
        <f>8-questionnaire!G279</f>
        <v>8</v>
      </c>
      <c r="H279" s="9">
        <f>8-questionnaire!H279</f>
        <v>8</v>
      </c>
      <c r="I279" s="9">
        <f>C279*10+D279*5+E279*1.66-(questionnaire!F279*1.66+questionnaire!G279*5+questionnaire!H279*10)</f>
        <v>0</v>
      </c>
    </row>
    <row r="280">
      <c r="A280" s="8" t="str">
        <f>questionnaire!A280</f>
        <v/>
      </c>
      <c r="B280" s="9" t="str">
        <f>questionnaire!B280</f>
        <v/>
      </c>
      <c r="C280" s="9" t="str">
        <f>questionnaire!C280</f>
        <v/>
      </c>
      <c r="D280" s="9" t="str">
        <f>questionnaire!D280</f>
        <v/>
      </c>
      <c r="E280" s="9" t="str">
        <f>questionnaire!E280</f>
        <v/>
      </c>
      <c r="F280" s="9">
        <f>8-questionnaire!F280</f>
        <v>8</v>
      </c>
      <c r="G280" s="9">
        <f>8-questionnaire!G280</f>
        <v>8</v>
      </c>
      <c r="H280" s="9">
        <f>8-questionnaire!H280</f>
        <v>8</v>
      </c>
      <c r="I280" s="9">
        <f>C280*10+D280*5+E280*1.66-(questionnaire!F280*1.66+questionnaire!G280*5+questionnaire!H280*10)</f>
        <v>0</v>
      </c>
    </row>
    <row r="281">
      <c r="A281" s="8" t="str">
        <f>questionnaire!A281</f>
        <v/>
      </c>
      <c r="B281" s="9" t="str">
        <f>questionnaire!B281</f>
        <v/>
      </c>
      <c r="C281" s="9" t="str">
        <f>questionnaire!C281</f>
        <v/>
      </c>
      <c r="D281" s="9" t="str">
        <f>questionnaire!D281</f>
        <v/>
      </c>
      <c r="E281" s="9" t="str">
        <f>questionnaire!E281</f>
        <v/>
      </c>
      <c r="F281" s="9">
        <f>8-questionnaire!F281</f>
        <v>8</v>
      </c>
      <c r="G281" s="9">
        <f>8-questionnaire!G281</f>
        <v>8</v>
      </c>
      <c r="H281" s="9">
        <f>8-questionnaire!H281</f>
        <v>8</v>
      </c>
      <c r="I281" s="9">
        <f>C281*10+D281*5+E281*1.66-(questionnaire!F281*1.66+questionnaire!G281*5+questionnaire!H281*10)</f>
        <v>0</v>
      </c>
    </row>
    <row r="282">
      <c r="A282" s="8" t="str">
        <f>questionnaire!A282</f>
        <v/>
      </c>
      <c r="B282" s="9" t="str">
        <f>questionnaire!B282</f>
        <v/>
      </c>
      <c r="C282" s="9" t="str">
        <f>questionnaire!C282</f>
        <v/>
      </c>
      <c r="D282" s="9" t="str">
        <f>questionnaire!D282</f>
        <v/>
      </c>
      <c r="E282" s="9" t="str">
        <f>questionnaire!E282</f>
        <v/>
      </c>
      <c r="F282" s="9">
        <f>8-questionnaire!F282</f>
        <v>8</v>
      </c>
      <c r="G282" s="9">
        <f>8-questionnaire!G282</f>
        <v>8</v>
      </c>
      <c r="H282" s="9">
        <f>8-questionnaire!H282</f>
        <v>8</v>
      </c>
      <c r="I282" s="9">
        <f>C282*10+D282*5+E282*1.66-(questionnaire!F282*1.66+questionnaire!G282*5+questionnaire!H282*10)</f>
        <v>0</v>
      </c>
    </row>
    <row r="283">
      <c r="A283" s="8" t="str">
        <f>questionnaire!A283</f>
        <v/>
      </c>
      <c r="B283" s="9" t="str">
        <f>questionnaire!B283</f>
        <v/>
      </c>
      <c r="C283" s="9" t="str">
        <f>questionnaire!C283</f>
        <v/>
      </c>
      <c r="D283" s="9" t="str">
        <f>questionnaire!D283</f>
        <v/>
      </c>
      <c r="E283" s="9" t="str">
        <f>questionnaire!E283</f>
        <v/>
      </c>
      <c r="F283" s="9">
        <f>8-questionnaire!F283</f>
        <v>8</v>
      </c>
      <c r="G283" s="9">
        <f>8-questionnaire!G283</f>
        <v>8</v>
      </c>
      <c r="H283" s="9">
        <f>8-questionnaire!H283</f>
        <v>8</v>
      </c>
      <c r="I283" s="9">
        <f>C283*10+D283*5+E283*1.66-(questionnaire!F283*1.66+questionnaire!G283*5+questionnaire!H283*10)</f>
        <v>0</v>
      </c>
    </row>
    <row r="284">
      <c r="A284" s="8" t="str">
        <f>questionnaire!A284</f>
        <v/>
      </c>
      <c r="B284" s="9" t="str">
        <f>questionnaire!B284</f>
        <v/>
      </c>
      <c r="C284" s="9" t="str">
        <f>questionnaire!C284</f>
        <v/>
      </c>
      <c r="D284" s="9" t="str">
        <f>questionnaire!D284</f>
        <v/>
      </c>
      <c r="E284" s="9" t="str">
        <f>questionnaire!E284</f>
        <v/>
      </c>
      <c r="F284" s="9">
        <f>8-questionnaire!F284</f>
        <v>8</v>
      </c>
      <c r="G284" s="9">
        <f>8-questionnaire!G284</f>
        <v>8</v>
      </c>
      <c r="H284" s="9">
        <f>8-questionnaire!H284</f>
        <v>8</v>
      </c>
      <c r="I284" s="9">
        <f>C284*10+D284*5+E284*1.66-(questionnaire!F284*1.66+questionnaire!G284*5+questionnaire!H284*10)</f>
        <v>0</v>
      </c>
    </row>
    <row r="285">
      <c r="A285" s="8" t="str">
        <f>questionnaire!A285</f>
        <v/>
      </c>
      <c r="B285" s="9" t="str">
        <f>questionnaire!B285</f>
        <v/>
      </c>
      <c r="C285" s="9" t="str">
        <f>questionnaire!C285</f>
        <v/>
      </c>
      <c r="D285" s="9" t="str">
        <f>questionnaire!D285</f>
        <v/>
      </c>
      <c r="E285" s="9" t="str">
        <f>questionnaire!E285</f>
        <v/>
      </c>
      <c r="F285" s="9">
        <f>8-questionnaire!F285</f>
        <v>8</v>
      </c>
      <c r="G285" s="9">
        <f>8-questionnaire!G285</f>
        <v>8</v>
      </c>
      <c r="H285" s="9">
        <f>8-questionnaire!H285</f>
        <v>8</v>
      </c>
      <c r="I285" s="9">
        <f>C285*10+D285*5+E285*1.66-(questionnaire!F285*1.66+questionnaire!G285*5+questionnaire!H285*10)</f>
        <v>0</v>
      </c>
    </row>
    <row r="286">
      <c r="A286" s="8" t="str">
        <f>questionnaire!A286</f>
        <v/>
      </c>
      <c r="B286" s="9" t="str">
        <f>questionnaire!B286</f>
        <v/>
      </c>
      <c r="C286" s="9" t="str">
        <f>questionnaire!C286</f>
        <v/>
      </c>
      <c r="D286" s="9" t="str">
        <f>questionnaire!D286</f>
        <v/>
      </c>
      <c r="E286" s="9" t="str">
        <f>questionnaire!E286</f>
        <v/>
      </c>
      <c r="F286" s="9">
        <f>8-questionnaire!F286</f>
        <v>8</v>
      </c>
      <c r="G286" s="9">
        <f>8-questionnaire!G286</f>
        <v>8</v>
      </c>
      <c r="H286" s="9">
        <f>8-questionnaire!H286</f>
        <v>8</v>
      </c>
      <c r="I286" s="9">
        <f>C286*10+D286*5+E286*1.66-(questionnaire!F286*1.66+questionnaire!G286*5+questionnaire!H286*10)</f>
        <v>0</v>
      </c>
    </row>
    <row r="287">
      <c r="A287" s="8" t="str">
        <f>questionnaire!A287</f>
        <v/>
      </c>
      <c r="B287" s="9" t="str">
        <f>questionnaire!B287</f>
        <v/>
      </c>
      <c r="C287" s="9" t="str">
        <f>questionnaire!C287</f>
        <v/>
      </c>
      <c r="D287" s="9" t="str">
        <f>questionnaire!D287</f>
        <v/>
      </c>
      <c r="E287" s="9" t="str">
        <f>questionnaire!E287</f>
        <v/>
      </c>
      <c r="F287" s="9">
        <f>8-questionnaire!F287</f>
        <v>8</v>
      </c>
      <c r="G287" s="9">
        <f>8-questionnaire!G287</f>
        <v>8</v>
      </c>
      <c r="H287" s="9">
        <f>8-questionnaire!H287</f>
        <v>8</v>
      </c>
      <c r="I287" s="9">
        <f>C287*10+D287*5+E287*1.66-(questionnaire!F287*1.66+questionnaire!G287*5+questionnaire!H287*10)</f>
        <v>0</v>
      </c>
    </row>
    <row r="288">
      <c r="A288" s="8" t="str">
        <f>questionnaire!A288</f>
        <v/>
      </c>
      <c r="B288" s="9" t="str">
        <f>questionnaire!B288</f>
        <v/>
      </c>
      <c r="C288" s="9" t="str">
        <f>questionnaire!C288</f>
        <v/>
      </c>
      <c r="D288" s="9" t="str">
        <f>questionnaire!D288</f>
        <v/>
      </c>
      <c r="E288" s="9" t="str">
        <f>questionnaire!E288</f>
        <v/>
      </c>
      <c r="F288" s="9">
        <f>8-questionnaire!F288</f>
        <v>8</v>
      </c>
      <c r="G288" s="9">
        <f>8-questionnaire!G288</f>
        <v>8</v>
      </c>
      <c r="H288" s="9">
        <f>8-questionnaire!H288</f>
        <v>8</v>
      </c>
      <c r="I288" s="9">
        <f>C288*10+D288*5+E288*1.66-(questionnaire!F288*1.66+questionnaire!G288*5+questionnaire!H288*10)</f>
        <v>0</v>
      </c>
    </row>
    <row r="289">
      <c r="A289" s="8" t="str">
        <f>questionnaire!A289</f>
        <v/>
      </c>
      <c r="B289" s="9" t="str">
        <f>questionnaire!B289</f>
        <v/>
      </c>
      <c r="C289" s="9" t="str">
        <f>questionnaire!C289</f>
        <v/>
      </c>
      <c r="D289" s="9" t="str">
        <f>questionnaire!D289</f>
        <v/>
      </c>
      <c r="E289" s="9" t="str">
        <f>questionnaire!E289</f>
        <v/>
      </c>
      <c r="F289" s="9">
        <f>8-questionnaire!F289</f>
        <v>8</v>
      </c>
      <c r="G289" s="9">
        <f>8-questionnaire!G289</f>
        <v>8</v>
      </c>
      <c r="H289" s="9">
        <f>8-questionnaire!H289</f>
        <v>8</v>
      </c>
      <c r="I289" s="9">
        <f>C289*10+D289*5+E289*1.66-(questionnaire!F289*1.66+questionnaire!G289*5+questionnaire!H289*10)</f>
        <v>0</v>
      </c>
    </row>
    <row r="290">
      <c r="A290" s="8" t="str">
        <f>questionnaire!A290</f>
        <v/>
      </c>
      <c r="B290" s="9" t="str">
        <f>questionnaire!B290</f>
        <v/>
      </c>
      <c r="C290" s="9" t="str">
        <f>questionnaire!C290</f>
        <v/>
      </c>
      <c r="D290" s="9" t="str">
        <f>questionnaire!D290</f>
        <v/>
      </c>
      <c r="E290" s="9" t="str">
        <f>questionnaire!E290</f>
        <v/>
      </c>
      <c r="F290" s="9">
        <f>8-questionnaire!F290</f>
        <v>8</v>
      </c>
      <c r="G290" s="9">
        <f>8-questionnaire!G290</f>
        <v>8</v>
      </c>
      <c r="H290" s="9">
        <f>8-questionnaire!H290</f>
        <v>8</v>
      </c>
      <c r="I290" s="9">
        <f>C290*10+D290*5+E290*1.66-(questionnaire!F290*1.66+questionnaire!G290*5+questionnaire!H290*10)</f>
        <v>0</v>
      </c>
    </row>
    <row r="291">
      <c r="A291" s="8" t="str">
        <f>questionnaire!A291</f>
        <v/>
      </c>
      <c r="B291" s="9" t="str">
        <f>questionnaire!B291</f>
        <v/>
      </c>
      <c r="C291" s="9" t="str">
        <f>questionnaire!C291</f>
        <v/>
      </c>
      <c r="D291" s="9" t="str">
        <f>questionnaire!D291</f>
        <v/>
      </c>
      <c r="E291" s="9" t="str">
        <f>questionnaire!E291</f>
        <v/>
      </c>
      <c r="F291" s="9">
        <f>8-questionnaire!F291</f>
        <v>8</v>
      </c>
      <c r="G291" s="9">
        <f>8-questionnaire!G291</f>
        <v>8</v>
      </c>
      <c r="H291" s="9">
        <f>8-questionnaire!H291</f>
        <v>8</v>
      </c>
      <c r="I291" s="9">
        <f>C291*10+D291*5+E291*1.66-(questionnaire!F291*1.66+questionnaire!G291*5+questionnaire!H291*10)</f>
        <v>0</v>
      </c>
    </row>
    <row r="292">
      <c r="A292" s="8" t="str">
        <f>questionnaire!A292</f>
        <v/>
      </c>
      <c r="B292" s="9" t="str">
        <f>questionnaire!B292</f>
        <v/>
      </c>
      <c r="C292" s="9" t="str">
        <f>questionnaire!C292</f>
        <v/>
      </c>
      <c r="D292" s="9" t="str">
        <f>questionnaire!D292</f>
        <v/>
      </c>
      <c r="E292" s="9" t="str">
        <f>questionnaire!E292</f>
        <v/>
      </c>
      <c r="F292" s="9">
        <f>8-questionnaire!F292</f>
        <v>8</v>
      </c>
      <c r="G292" s="9">
        <f>8-questionnaire!G292</f>
        <v>8</v>
      </c>
      <c r="H292" s="9">
        <f>8-questionnaire!H292</f>
        <v>8</v>
      </c>
      <c r="I292" s="9">
        <f>C292*10+D292*5+E292*1.66-(questionnaire!F292*1.66+questionnaire!G292*5+questionnaire!H292*10)</f>
        <v>0</v>
      </c>
    </row>
    <row r="293">
      <c r="A293" s="8" t="str">
        <f>questionnaire!A293</f>
        <v/>
      </c>
      <c r="B293" s="9" t="str">
        <f>questionnaire!B293</f>
        <v/>
      </c>
      <c r="C293" s="9" t="str">
        <f>questionnaire!C293</f>
        <v/>
      </c>
      <c r="D293" s="9" t="str">
        <f>questionnaire!D293</f>
        <v/>
      </c>
      <c r="E293" s="9" t="str">
        <f>questionnaire!E293</f>
        <v/>
      </c>
      <c r="F293" s="9">
        <f>8-questionnaire!F293</f>
        <v>8</v>
      </c>
      <c r="G293" s="9">
        <f>8-questionnaire!G293</f>
        <v>8</v>
      </c>
      <c r="H293" s="9">
        <f>8-questionnaire!H293</f>
        <v>8</v>
      </c>
      <c r="I293" s="9">
        <f>C293*10+D293*5+E293*1.66-(questionnaire!F293*1.66+questionnaire!G293*5+questionnaire!H293*10)</f>
        <v>0</v>
      </c>
    </row>
    <row r="294">
      <c r="A294" s="8" t="str">
        <f>questionnaire!A294</f>
        <v/>
      </c>
      <c r="B294" s="9" t="str">
        <f>questionnaire!B294</f>
        <v/>
      </c>
      <c r="C294" s="9" t="str">
        <f>questionnaire!C294</f>
        <v/>
      </c>
      <c r="D294" s="9" t="str">
        <f>questionnaire!D294</f>
        <v/>
      </c>
      <c r="E294" s="9" t="str">
        <f>questionnaire!E294</f>
        <v/>
      </c>
      <c r="F294" s="9">
        <f>8-questionnaire!F294</f>
        <v>8</v>
      </c>
      <c r="G294" s="9">
        <f>8-questionnaire!G294</f>
        <v>8</v>
      </c>
      <c r="H294" s="9">
        <f>8-questionnaire!H294</f>
        <v>8</v>
      </c>
      <c r="I294" s="9">
        <f>C294*10+D294*5+E294*1.66-(questionnaire!F294*1.66+questionnaire!G294*5+questionnaire!H294*10)</f>
        <v>0</v>
      </c>
    </row>
    <row r="295">
      <c r="A295" s="8" t="str">
        <f>questionnaire!A295</f>
        <v/>
      </c>
      <c r="B295" s="9" t="str">
        <f>questionnaire!B295</f>
        <v/>
      </c>
      <c r="C295" s="9" t="str">
        <f>questionnaire!C295</f>
        <v/>
      </c>
      <c r="D295" s="9" t="str">
        <f>questionnaire!D295</f>
        <v/>
      </c>
      <c r="E295" s="9" t="str">
        <f>questionnaire!E295</f>
        <v/>
      </c>
      <c r="F295" s="9">
        <f>8-questionnaire!F295</f>
        <v>8</v>
      </c>
      <c r="G295" s="9">
        <f>8-questionnaire!G295</f>
        <v>8</v>
      </c>
      <c r="H295" s="9">
        <f>8-questionnaire!H295</f>
        <v>8</v>
      </c>
      <c r="I295" s="9">
        <f>C295*10+D295*5+E295*1.66-(questionnaire!F295*1.66+questionnaire!G295*5+questionnaire!H295*10)</f>
        <v>0</v>
      </c>
    </row>
    <row r="296">
      <c r="A296" s="8" t="str">
        <f>questionnaire!A296</f>
        <v/>
      </c>
      <c r="B296" s="9" t="str">
        <f>questionnaire!B296</f>
        <v/>
      </c>
      <c r="C296" s="9" t="str">
        <f>questionnaire!C296</f>
        <v/>
      </c>
      <c r="D296" s="9" t="str">
        <f>questionnaire!D296</f>
        <v/>
      </c>
      <c r="E296" s="9" t="str">
        <f>questionnaire!E296</f>
        <v/>
      </c>
      <c r="F296" s="9">
        <f>8-questionnaire!F296</f>
        <v>8</v>
      </c>
      <c r="G296" s="9">
        <f>8-questionnaire!G296</f>
        <v>8</v>
      </c>
      <c r="H296" s="9">
        <f>8-questionnaire!H296</f>
        <v>8</v>
      </c>
      <c r="I296" s="9">
        <f>C296*10+D296*5+E296*1.66-(questionnaire!F296*1.66+questionnaire!G296*5+questionnaire!H296*10)</f>
        <v>0</v>
      </c>
    </row>
    <row r="297">
      <c r="A297" s="8" t="str">
        <f>questionnaire!A297</f>
        <v/>
      </c>
      <c r="B297" s="9" t="str">
        <f>questionnaire!B297</f>
        <v/>
      </c>
      <c r="C297" s="9" t="str">
        <f>questionnaire!C297</f>
        <v/>
      </c>
      <c r="D297" s="9" t="str">
        <f>questionnaire!D297</f>
        <v/>
      </c>
      <c r="E297" s="9" t="str">
        <f>questionnaire!E297</f>
        <v/>
      </c>
      <c r="F297" s="9">
        <f>8-questionnaire!F297</f>
        <v>8</v>
      </c>
      <c r="G297" s="9">
        <f>8-questionnaire!G297</f>
        <v>8</v>
      </c>
      <c r="H297" s="9">
        <f>8-questionnaire!H297</f>
        <v>8</v>
      </c>
      <c r="I297" s="9">
        <f>C297*10+D297*5+E297*1.66-(questionnaire!F297*1.66+questionnaire!G297*5+questionnaire!H297*10)</f>
        <v>0</v>
      </c>
    </row>
    <row r="298">
      <c r="A298" s="8" t="str">
        <f>questionnaire!A298</f>
        <v/>
      </c>
      <c r="B298" s="9" t="str">
        <f>questionnaire!B298</f>
        <v/>
      </c>
      <c r="C298" s="9" t="str">
        <f>questionnaire!C298</f>
        <v/>
      </c>
      <c r="D298" s="9" t="str">
        <f>questionnaire!D298</f>
        <v/>
      </c>
      <c r="E298" s="9" t="str">
        <f>questionnaire!E298</f>
        <v/>
      </c>
      <c r="F298" s="9">
        <f>8-questionnaire!F298</f>
        <v>8</v>
      </c>
      <c r="G298" s="9">
        <f>8-questionnaire!G298</f>
        <v>8</v>
      </c>
      <c r="H298" s="9">
        <f>8-questionnaire!H298</f>
        <v>8</v>
      </c>
      <c r="I298" s="9">
        <f>C298*10+D298*5+E298*1.66-(questionnaire!F298*1.66+questionnaire!G298*5+questionnaire!H298*10)</f>
        <v>0</v>
      </c>
    </row>
    <row r="299">
      <c r="A299" s="8" t="str">
        <f>questionnaire!A299</f>
        <v/>
      </c>
      <c r="B299" s="9" t="str">
        <f>questionnaire!B299</f>
        <v/>
      </c>
      <c r="C299" s="9" t="str">
        <f>questionnaire!C299</f>
        <v/>
      </c>
      <c r="D299" s="9" t="str">
        <f>questionnaire!D299</f>
        <v/>
      </c>
      <c r="E299" s="9" t="str">
        <f>questionnaire!E299</f>
        <v/>
      </c>
      <c r="F299" s="9">
        <f>8-questionnaire!F299</f>
        <v>8</v>
      </c>
      <c r="G299" s="9">
        <f>8-questionnaire!G299</f>
        <v>8</v>
      </c>
      <c r="H299" s="9">
        <f>8-questionnaire!H299</f>
        <v>8</v>
      </c>
      <c r="I299" s="9">
        <f>C299*10+D299*5+E299*1.66-(questionnaire!F299*1.66+questionnaire!G299*5+questionnaire!H299*10)</f>
        <v>0</v>
      </c>
    </row>
    <row r="300">
      <c r="A300" s="8" t="str">
        <f>questionnaire!A300</f>
        <v/>
      </c>
      <c r="B300" s="9" t="str">
        <f>questionnaire!B300</f>
        <v/>
      </c>
      <c r="C300" s="9" t="str">
        <f>questionnaire!C300</f>
        <v/>
      </c>
      <c r="D300" s="9" t="str">
        <f>questionnaire!D300</f>
        <v/>
      </c>
      <c r="E300" s="9" t="str">
        <f>questionnaire!E300</f>
        <v/>
      </c>
      <c r="F300" s="9">
        <f>8-questionnaire!F300</f>
        <v>8</v>
      </c>
      <c r="G300" s="9">
        <f>8-questionnaire!G300</f>
        <v>8</v>
      </c>
      <c r="H300" s="9">
        <f>8-questionnaire!H300</f>
        <v>8</v>
      </c>
      <c r="I300" s="9">
        <f>C300*10+D300*5+E300*1.66-(questionnaire!F300*1.66+questionnaire!G300*5+questionnaire!H300*10)</f>
        <v>0</v>
      </c>
    </row>
    <row r="301">
      <c r="A301" s="8" t="str">
        <f>questionnaire!A301</f>
        <v/>
      </c>
      <c r="B301" s="9" t="str">
        <f>questionnaire!B301</f>
        <v/>
      </c>
      <c r="C301" s="9" t="str">
        <f>questionnaire!C301</f>
        <v/>
      </c>
      <c r="D301" s="9" t="str">
        <f>questionnaire!D301</f>
        <v/>
      </c>
      <c r="E301" s="9" t="str">
        <f>questionnaire!E301</f>
        <v/>
      </c>
      <c r="F301" s="9">
        <f>8-questionnaire!F301</f>
        <v>8</v>
      </c>
      <c r="G301" s="9">
        <f>8-questionnaire!G301</f>
        <v>8</v>
      </c>
      <c r="H301" s="9">
        <f>8-questionnaire!H301</f>
        <v>8</v>
      </c>
      <c r="I301" s="9">
        <f>C301*10+D301*5+E301*1.66-(questionnaire!F301*1.66+questionnaire!G301*5+questionnaire!H301*10)</f>
        <v>0</v>
      </c>
    </row>
    <row r="302">
      <c r="A302" s="8" t="str">
        <f>questionnaire!A302</f>
        <v/>
      </c>
      <c r="B302" s="9" t="str">
        <f>questionnaire!B302</f>
        <v/>
      </c>
      <c r="C302" s="9" t="str">
        <f>questionnaire!C302</f>
        <v/>
      </c>
      <c r="D302" s="9" t="str">
        <f>questionnaire!D302</f>
        <v/>
      </c>
      <c r="E302" s="9" t="str">
        <f>questionnaire!E302</f>
        <v/>
      </c>
      <c r="F302" s="9">
        <f>8-questionnaire!F302</f>
        <v>8</v>
      </c>
      <c r="G302" s="9">
        <f>8-questionnaire!G302</f>
        <v>8</v>
      </c>
      <c r="H302" s="9">
        <f>8-questionnaire!H302</f>
        <v>8</v>
      </c>
      <c r="I302" s="9">
        <f>C302*10+D302*5+E302*1.66-(questionnaire!F302*1.66+questionnaire!G302*5+questionnaire!H302*10)</f>
        <v>0</v>
      </c>
    </row>
    <row r="303">
      <c r="A303" s="8" t="str">
        <f>questionnaire!A303</f>
        <v/>
      </c>
      <c r="B303" s="9" t="str">
        <f>questionnaire!B303</f>
        <v/>
      </c>
      <c r="C303" s="9" t="str">
        <f>questionnaire!C303</f>
        <v/>
      </c>
      <c r="D303" s="9" t="str">
        <f>questionnaire!D303</f>
        <v/>
      </c>
      <c r="E303" s="9" t="str">
        <f>questionnaire!E303</f>
        <v/>
      </c>
      <c r="F303" s="9">
        <f>8-questionnaire!F303</f>
        <v>8</v>
      </c>
      <c r="G303" s="9">
        <f>8-questionnaire!G303</f>
        <v>8</v>
      </c>
      <c r="H303" s="9">
        <f>8-questionnaire!H303</f>
        <v>8</v>
      </c>
      <c r="I303" s="9">
        <f>C303*10+D303*5+E303*1.66-(questionnaire!F303*1.66+questionnaire!G303*5+questionnaire!H303*10)</f>
        <v>0</v>
      </c>
    </row>
    <row r="304">
      <c r="A304" s="8" t="str">
        <f>questionnaire!A304</f>
        <v/>
      </c>
      <c r="B304" s="9" t="str">
        <f>questionnaire!B304</f>
        <v/>
      </c>
      <c r="C304" s="9" t="str">
        <f>questionnaire!C304</f>
        <v/>
      </c>
      <c r="D304" s="9" t="str">
        <f>questionnaire!D304</f>
        <v/>
      </c>
      <c r="E304" s="9" t="str">
        <f>questionnaire!E304</f>
        <v/>
      </c>
      <c r="F304" s="9">
        <f>8-questionnaire!F304</f>
        <v>8</v>
      </c>
      <c r="G304" s="9">
        <f>8-questionnaire!G304</f>
        <v>8</v>
      </c>
      <c r="H304" s="9">
        <f>8-questionnaire!H304</f>
        <v>8</v>
      </c>
      <c r="I304" s="9">
        <f>C304*10+D304*5+E304*1.66-(questionnaire!F304*1.66+questionnaire!G304*5+questionnaire!H304*10)</f>
        <v>0</v>
      </c>
    </row>
    <row r="305">
      <c r="A305" s="8" t="str">
        <f>questionnaire!A305</f>
        <v/>
      </c>
      <c r="B305" s="9" t="str">
        <f>questionnaire!B305</f>
        <v/>
      </c>
      <c r="C305" s="9" t="str">
        <f>questionnaire!C305</f>
        <v/>
      </c>
      <c r="D305" s="9" t="str">
        <f>questionnaire!D305</f>
        <v/>
      </c>
      <c r="E305" s="9" t="str">
        <f>questionnaire!E305</f>
        <v/>
      </c>
      <c r="F305" s="9">
        <f>8-questionnaire!F305</f>
        <v>8</v>
      </c>
      <c r="G305" s="9">
        <f>8-questionnaire!G305</f>
        <v>8</v>
      </c>
      <c r="H305" s="9">
        <f>8-questionnaire!H305</f>
        <v>8</v>
      </c>
      <c r="I305" s="9">
        <f>C305*10+D305*5+E305*1.66-(questionnaire!F305*1.66+questionnaire!G305*5+questionnaire!H305*10)</f>
        <v>0</v>
      </c>
    </row>
    <row r="306">
      <c r="A306" s="8" t="str">
        <f>questionnaire!A306</f>
        <v/>
      </c>
      <c r="B306" s="9" t="str">
        <f>questionnaire!B306</f>
        <v/>
      </c>
      <c r="C306" s="9" t="str">
        <f>questionnaire!C306</f>
        <v/>
      </c>
      <c r="D306" s="9" t="str">
        <f>questionnaire!D306</f>
        <v/>
      </c>
      <c r="E306" s="9" t="str">
        <f>questionnaire!E306</f>
        <v/>
      </c>
      <c r="F306" s="9">
        <f>8-questionnaire!F306</f>
        <v>8</v>
      </c>
      <c r="G306" s="9">
        <f>8-questionnaire!G306</f>
        <v>8</v>
      </c>
      <c r="H306" s="9">
        <f>8-questionnaire!H306</f>
        <v>8</v>
      </c>
      <c r="I306" s="9">
        <f>C306*10+D306*5+E306*1.66-(questionnaire!F306*1.66+questionnaire!G306*5+questionnaire!H306*10)</f>
        <v>0</v>
      </c>
    </row>
    <row r="307">
      <c r="A307" s="8" t="str">
        <f>questionnaire!A307</f>
        <v/>
      </c>
      <c r="B307" s="9" t="str">
        <f>questionnaire!B307</f>
        <v/>
      </c>
      <c r="C307" s="9" t="str">
        <f>questionnaire!C307</f>
        <v/>
      </c>
      <c r="D307" s="9" t="str">
        <f>questionnaire!D307</f>
        <v/>
      </c>
      <c r="E307" s="9" t="str">
        <f>questionnaire!E307</f>
        <v/>
      </c>
      <c r="F307" s="9">
        <f>8-questionnaire!F307</f>
        <v>8</v>
      </c>
      <c r="G307" s="9">
        <f>8-questionnaire!G307</f>
        <v>8</v>
      </c>
      <c r="H307" s="9">
        <f>8-questionnaire!H307</f>
        <v>8</v>
      </c>
      <c r="I307" s="9">
        <f>C307*10+D307*5+E307*1.66-(questionnaire!F307*1.66+questionnaire!G307*5+questionnaire!H307*10)</f>
        <v>0</v>
      </c>
    </row>
    <row r="308">
      <c r="A308" s="8" t="str">
        <f>questionnaire!A308</f>
        <v/>
      </c>
      <c r="B308" s="9" t="str">
        <f>questionnaire!B308</f>
        <v/>
      </c>
      <c r="C308" s="9" t="str">
        <f>questionnaire!C308</f>
        <v/>
      </c>
      <c r="D308" s="9" t="str">
        <f>questionnaire!D308</f>
        <v/>
      </c>
      <c r="E308" s="9" t="str">
        <f>questionnaire!E308</f>
        <v/>
      </c>
      <c r="F308" s="9">
        <f>8-questionnaire!F308</f>
        <v>8</v>
      </c>
      <c r="G308" s="9">
        <f>8-questionnaire!G308</f>
        <v>8</v>
      </c>
      <c r="H308" s="9">
        <f>8-questionnaire!H308</f>
        <v>8</v>
      </c>
      <c r="I308" s="9">
        <f>C308*10+D308*5+E308*1.66-(questionnaire!F308*1.66+questionnaire!G308*5+questionnaire!H308*10)</f>
        <v>0</v>
      </c>
    </row>
    <row r="309">
      <c r="A309" s="8" t="str">
        <f>questionnaire!A309</f>
        <v/>
      </c>
      <c r="B309" s="9" t="str">
        <f>questionnaire!B309</f>
        <v/>
      </c>
      <c r="C309" s="9" t="str">
        <f>questionnaire!C309</f>
        <v/>
      </c>
      <c r="D309" s="9" t="str">
        <f>questionnaire!D309</f>
        <v/>
      </c>
      <c r="E309" s="9" t="str">
        <f>questionnaire!E309</f>
        <v/>
      </c>
      <c r="F309" s="9">
        <f>8-questionnaire!F309</f>
        <v>8</v>
      </c>
      <c r="G309" s="9">
        <f>8-questionnaire!G309</f>
        <v>8</v>
      </c>
      <c r="H309" s="9">
        <f>8-questionnaire!H309</f>
        <v>8</v>
      </c>
      <c r="I309" s="9">
        <f>C309*10+D309*5+E309*1.66-(questionnaire!F309*1.66+questionnaire!G309*5+questionnaire!H309*10)</f>
        <v>0</v>
      </c>
    </row>
    <row r="310">
      <c r="A310" s="8" t="str">
        <f>questionnaire!A310</f>
        <v/>
      </c>
      <c r="B310" s="9" t="str">
        <f>questionnaire!B310</f>
        <v/>
      </c>
      <c r="C310" s="9" t="str">
        <f>questionnaire!C310</f>
        <v/>
      </c>
      <c r="D310" s="9" t="str">
        <f>questionnaire!D310</f>
        <v/>
      </c>
      <c r="E310" s="9" t="str">
        <f>questionnaire!E310</f>
        <v/>
      </c>
      <c r="F310" s="9">
        <f>8-questionnaire!F310</f>
        <v>8</v>
      </c>
      <c r="G310" s="9">
        <f>8-questionnaire!G310</f>
        <v>8</v>
      </c>
      <c r="H310" s="9">
        <f>8-questionnaire!H310</f>
        <v>8</v>
      </c>
      <c r="I310" s="9">
        <f>C310*10+D310*5+E310*1.66-(questionnaire!F310*1.66+questionnaire!G310*5+questionnaire!H310*10)</f>
        <v>0</v>
      </c>
    </row>
    <row r="311">
      <c r="A311" s="8" t="str">
        <f>questionnaire!A311</f>
        <v/>
      </c>
      <c r="B311" s="9" t="str">
        <f>questionnaire!B311</f>
        <v/>
      </c>
      <c r="C311" s="9" t="str">
        <f>questionnaire!C311</f>
        <v/>
      </c>
      <c r="D311" s="9" t="str">
        <f>questionnaire!D311</f>
        <v/>
      </c>
      <c r="E311" s="9" t="str">
        <f>questionnaire!E311</f>
        <v/>
      </c>
      <c r="F311" s="9">
        <f>8-questionnaire!F311</f>
        <v>8</v>
      </c>
      <c r="G311" s="9">
        <f>8-questionnaire!G311</f>
        <v>8</v>
      </c>
      <c r="H311" s="9">
        <f>8-questionnaire!H311</f>
        <v>8</v>
      </c>
      <c r="I311" s="9">
        <f>C311*10+D311*5+E311*1.66-(questionnaire!F311*1.66+questionnaire!G311*5+questionnaire!H311*10)</f>
        <v>0</v>
      </c>
    </row>
    <row r="312">
      <c r="A312" s="8" t="str">
        <f>questionnaire!A312</f>
        <v/>
      </c>
      <c r="B312" s="9" t="str">
        <f>questionnaire!B312</f>
        <v/>
      </c>
      <c r="C312" s="9" t="str">
        <f>questionnaire!C312</f>
        <v/>
      </c>
      <c r="D312" s="9" t="str">
        <f>questionnaire!D312</f>
        <v/>
      </c>
      <c r="E312" s="9" t="str">
        <f>questionnaire!E312</f>
        <v/>
      </c>
      <c r="F312" s="9">
        <f>8-questionnaire!F312</f>
        <v>8</v>
      </c>
      <c r="G312" s="9">
        <f>8-questionnaire!G312</f>
        <v>8</v>
      </c>
      <c r="H312" s="9">
        <f>8-questionnaire!H312</f>
        <v>8</v>
      </c>
      <c r="I312" s="9">
        <f>C312*10+D312*5+E312*1.66-(questionnaire!F312*1.66+questionnaire!G312*5+questionnaire!H312*10)</f>
        <v>0</v>
      </c>
    </row>
    <row r="313">
      <c r="A313" s="8" t="str">
        <f>questionnaire!A313</f>
        <v/>
      </c>
      <c r="B313" s="9" t="str">
        <f>questionnaire!B313</f>
        <v/>
      </c>
      <c r="C313" s="9" t="str">
        <f>questionnaire!C313</f>
        <v/>
      </c>
      <c r="D313" s="9" t="str">
        <f>questionnaire!D313</f>
        <v/>
      </c>
      <c r="E313" s="9" t="str">
        <f>questionnaire!E313</f>
        <v/>
      </c>
      <c r="F313" s="9">
        <f>8-questionnaire!F313</f>
        <v>8</v>
      </c>
      <c r="G313" s="9">
        <f>8-questionnaire!G313</f>
        <v>8</v>
      </c>
      <c r="H313" s="9">
        <f>8-questionnaire!H313</f>
        <v>8</v>
      </c>
      <c r="I313" s="9">
        <f>C313*10+D313*5+E313*1.66-(questionnaire!F313*1.66+questionnaire!G313*5+questionnaire!H313*10)</f>
        <v>0</v>
      </c>
    </row>
    <row r="314">
      <c r="A314" s="8" t="str">
        <f>questionnaire!A314</f>
        <v/>
      </c>
      <c r="B314" s="9" t="str">
        <f>questionnaire!B314</f>
        <v/>
      </c>
      <c r="C314" s="9" t="str">
        <f>questionnaire!C314</f>
        <v/>
      </c>
      <c r="D314" s="9" t="str">
        <f>questionnaire!D314</f>
        <v/>
      </c>
      <c r="E314" s="9" t="str">
        <f>questionnaire!E314</f>
        <v/>
      </c>
      <c r="F314" s="9">
        <f>8-questionnaire!F314</f>
        <v>8</v>
      </c>
      <c r="G314" s="9">
        <f>8-questionnaire!G314</f>
        <v>8</v>
      </c>
      <c r="H314" s="9">
        <f>8-questionnaire!H314</f>
        <v>8</v>
      </c>
      <c r="I314" s="9">
        <f>C314*10+D314*5+E314*1.66-(questionnaire!F314*1.66+questionnaire!G314*5+questionnaire!H314*10)</f>
        <v>0</v>
      </c>
    </row>
    <row r="315">
      <c r="A315" s="8" t="str">
        <f>questionnaire!A315</f>
        <v/>
      </c>
      <c r="B315" s="9" t="str">
        <f>questionnaire!B315</f>
        <v/>
      </c>
      <c r="C315" s="9" t="str">
        <f>questionnaire!C315</f>
        <v/>
      </c>
      <c r="D315" s="9" t="str">
        <f>questionnaire!D315</f>
        <v/>
      </c>
      <c r="E315" s="9" t="str">
        <f>questionnaire!E315</f>
        <v/>
      </c>
      <c r="F315" s="9">
        <f>8-questionnaire!F315</f>
        <v>8</v>
      </c>
      <c r="G315" s="9">
        <f>8-questionnaire!G315</f>
        <v>8</v>
      </c>
      <c r="H315" s="9">
        <f>8-questionnaire!H315</f>
        <v>8</v>
      </c>
      <c r="I315" s="9">
        <f>C315*10+D315*5+E315*1.66-(questionnaire!F315*1.66+questionnaire!G315*5+questionnaire!H315*10)</f>
        <v>0</v>
      </c>
    </row>
    <row r="316">
      <c r="A316" s="8" t="str">
        <f>questionnaire!A316</f>
        <v/>
      </c>
      <c r="B316" s="9" t="str">
        <f>questionnaire!B316</f>
        <v/>
      </c>
      <c r="C316" s="9" t="str">
        <f>questionnaire!C316</f>
        <v/>
      </c>
      <c r="D316" s="9" t="str">
        <f>questionnaire!D316</f>
        <v/>
      </c>
      <c r="E316" s="9" t="str">
        <f>questionnaire!E316</f>
        <v/>
      </c>
      <c r="F316" s="9">
        <f>8-questionnaire!F316</f>
        <v>8</v>
      </c>
      <c r="G316" s="9">
        <f>8-questionnaire!G316</f>
        <v>8</v>
      </c>
      <c r="H316" s="9">
        <f>8-questionnaire!H316</f>
        <v>8</v>
      </c>
      <c r="I316" s="9">
        <f>C316*10+D316*5+E316*1.66-(questionnaire!F316*1.66+questionnaire!G316*5+questionnaire!H316*10)</f>
        <v>0</v>
      </c>
    </row>
    <row r="317">
      <c r="A317" s="8" t="str">
        <f>questionnaire!A317</f>
        <v/>
      </c>
      <c r="B317" s="9" t="str">
        <f>questionnaire!B317</f>
        <v/>
      </c>
      <c r="C317" s="9" t="str">
        <f>questionnaire!C317</f>
        <v/>
      </c>
      <c r="D317" s="9" t="str">
        <f>questionnaire!D317</f>
        <v/>
      </c>
      <c r="E317" s="9" t="str">
        <f>questionnaire!E317</f>
        <v/>
      </c>
      <c r="F317" s="9">
        <f>8-questionnaire!F317</f>
        <v>8</v>
      </c>
      <c r="G317" s="9">
        <f>8-questionnaire!G317</f>
        <v>8</v>
      </c>
      <c r="H317" s="9">
        <f>8-questionnaire!H317</f>
        <v>8</v>
      </c>
      <c r="I317" s="9">
        <f>C317*10+D317*5+E317*1.66-(questionnaire!F317*1.66+questionnaire!G317*5+questionnaire!H317*10)</f>
        <v>0</v>
      </c>
    </row>
    <row r="318">
      <c r="A318" s="8" t="str">
        <f>questionnaire!A318</f>
        <v/>
      </c>
      <c r="B318" s="9" t="str">
        <f>questionnaire!B318</f>
        <v/>
      </c>
      <c r="C318" s="9" t="str">
        <f>questionnaire!C318</f>
        <v/>
      </c>
      <c r="D318" s="9" t="str">
        <f>questionnaire!D318</f>
        <v/>
      </c>
      <c r="E318" s="9" t="str">
        <f>questionnaire!E318</f>
        <v/>
      </c>
      <c r="F318" s="9">
        <f>8-questionnaire!F318</f>
        <v>8</v>
      </c>
      <c r="G318" s="9">
        <f>8-questionnaire!G318</f>
        <v>8</v>
      </c>
      <c r="H318" s="9">
        <f>8-questionnaire!H318</f>
        <v>8</v>
      </c>
      <c r="I318" s="9">
        <f>C318*10+D318*5+E318*1.66-(questionnaire!F318*1.66+questionnaire!G318*5+questionnaire!H318*10)</f>
        <v>0</v>
      </c>
    </row>
    <row r="319">
      <c r="A319" s="8" t="str">
        <f>questionnaire!A319</f>
        <v/>
      </c>
      <c r="B319" s="9" t="str">
        <f>questionnaire!B319</f>
        <v/>
      </c>
      <c r="C319" s="9" t="str">
        <f>questionnaire!C319</f>
        <v/>
      </c>
      <c r="D319" s="9" t="str">
        <f>questionnaire!D319</f>
        <v/>
      </c>
      <c r="E319" s="9" t="str">
        <f>questionnaire!E319</f>
        <v/>
      </c>
      <c r="F319" s="9">
        <f>8-questionnaire!F319</f>
        <v>8</v>
      </c>
      <c r="G319" s="9">
        <f>8-questionnaire!G319</f>
        <v>8</v>
      </c>
      <c r="H319" s="9">
        <f>8-questionnaire!H319</f>
        <v>8</v>
      </c>
      <c r="I319" s="9">
        <f>C319*10+D319*5+E319*1.66-(questionnaire!F319*1.66+questionnaire!G319*5+questionnaire!H319*10)</f>
        <v>0</v>
      </c>
    </row>
    <row r="320">
      <c r="A320" s="8" t="str">
        <f>questionnaire!A320</f>
        <v/>
      </c>
      <c r="B320" s="9" t="str">
        <f>questionnaire!B320</f>
        <v/>
      </c>
      <c r="C320" s="9" t="str">
        <f>questionnaire!C320</f>
        <v/>
      </c>
      <c r="D320" s="9" t="str">
        <f>questionnaire!D320</f>
        <v/>
      </c>
      <c r="E320" s="9" t="str">
        <f>questionnaire!E320</f>
        <v/>
      </c>
      <c r="F320" s="9">
        <f>8-questionnaire!F320</f>
        <v>8</v>
      </c>
      <c r="G320" s="9">
        <f>8-questionnaire!G320</f>
        <v>8</v>
      </c>
      <c r="H320" s="9">
        <f>8-questionnaire!H320</f>
        <v>8</v>
      </c>
      <c r="I320" s="9">
        <f>C320*10+D320*5+E320*1.66-(questionnaire!F320*1.66+questionnaire!G320*5+questionnaire!H320*10)</f>
        <v>0</v>
      </c>
    </row>
    <row r="321">
      <c r="A321" s="8" t="str">
        <f>questionnaire!A321</f>
        <v/>
      </c>
      <c r="B321" s="9" t="str">
        <f>questionnaire!B321</f>
        <v/>
      </c>
      <c r="C321" s="9" t="str">
        <f>questionnaire!C321</f>
        <v/>
      </c>
      <c r="D321" s="9" t="str">
        <f>questionnaire!D321</f>
        <v/>
      </c>
      <c r="E321" s="9" t="str">
        <f>questionnaire!E321</f>
        <v/>
      </c>
      <c r="F321" s="9">
        <f>8-questionnaire!F321</f>
        <v>8</v>
      </c>
      <c r="G321" s="9">
        <f>8-questionnaire!G321</f>
        <v>8</v>
      </c>
      <c r="H321" s="9">
        <f>8-questionnaire!H321</f>
        <v>8</v>
      </c>
      <c r="I321" s="9">
        <f>C321*10+D321*5+E321*1.66-(questionnaire!F321*1.66+questionnaire!G321*5+questionnaire!H321*10)</f>
        <v>0</v>
      </c>
    </row>
    <row r="322">
      <c r="A322" s="8" t="str">
        <f>questionnaire!A322</f>
        <v/>
      </c>
      <c r="B322" s="9" t="str">
        <f>questionnaire!B322</f>
        <v/>
      </c>
      <c r="C322" s="9" t="str">
        <f>questionnaire!C322</f>
        <v/>
      </c>
      <c r="D322" s="9" t="str">
        <f>questionnaire!D322</f>
        <v/>
      </c>
      <c r="E322" s="9" t="str">
        <f>questionnaire!E322</f>
        <v/>
      </c>
      <c r="F322" s="9">
        <f>8-questionnaire!F322</f>
        <v>8</v>
      </c>
      <c r="G322" s="9">
        <f>8-questionnaire!G322</f>
        <v>8</v>
      </c>
      <c r="H322" s="9">
        <f>8-questionnaire!H322</f>
        <v>8</v>
      </c>
      <c r="I322" s="9">
        <f>C322*10+D322*5+E322*1.66-(questionnaire!F322*1.66+questionnaire!G322*5+questionnaire!H322*10)</f>
        <v>0</v>
      </c>
    </row>
    <row r="323">
      <c r="A323" s="8" t="str">
        <f>questionnaire!A323</f>
        <v/>
      </c>
      <c r="B323" s="9" t="str">
        <f>questionnaire!B323</f>
        <v/>
      </c>
      <c r="C323" s="9" t="str">
        <f>questionnaire!C323</f>
        <v/>
      </c>
      <c r="D323" s="9" t="str">
        <f>questionnaire!D323</f>
        <v/>
      </c>
      <c r="E323" s="9" t="str">
        <f>questionnaire!E323</f>
        <v/>
      </c>
      <c r="F323" s="9">
        <f>8-questionnaire!F323</f>
        <v>8</v>
      </c>
      <c r="G323" s="9">
        <f>8-questionnaire!G323</f>
        <v>8</v>
      </c>
      <c r="H323" s="9">
        <f>8-questionnaire!H323</f>
        <v>8</v>
      </c>
      <c r="I323" s="9">
        <f>C323*10+D323*5+E323*1.66-(questionnaire!F323*1.66+questionnaire!G323*5+questionnaire!H323*10)</f>
        <v>0</v>
      </c>
    </row>
    <row r="324">
      <c r="A324" s="8" t="str">
        <f>questionnaire!A324</f>
        <v/>
      </c>
      <c r="B324" s="9" t="str">
        <f>questionnaire!B324</f>
        <v/>
      </c>
      <c r="C324" s="9" t="str">
        <f>questionnaire!C324</f>
        <v/>
      </c>
      <c r="D324" s="9" t="str">
        <f>questionnaire!D324</f>
        <v/>
      </c>
      <c r="E324" s="9" t="str">
        <f>questionnaire!E324</f>
        <v/>
      </c>
      <c r="F324" s="9">
        <f>8-questionnaire!F324</f>
        <v>8</v>
      </c>
      <c r="G324" s="9">
        <f>8-questionnaire!G324</f>
        <v>8</v>
      </c>
      <c r="H324" s="9">
        <f>8-questionnaire!H324</f>
        <v>8</v>
      </c>
      <c r="I324" s="9">
        <f>C324*10+D324*5+E324*1.66-(questionnaire!F324*1.66+questionnaire!G324*5+questionnaire!H324*10)</f>
        <v>0</v>
      </c>
    </row>
    <row r="325">
      <c r="A325" s="8" t="str">
        <f>questionnaire!A325</f>
        <v/>
      </c>
      <c r="B325" s="9" t="str">
        <f>questionnaire!B325</f>
        <v/>
      </c>
      <c r="C325" s="9" t="str">
        <f>questionnaire!C325</f>
        <v/>
      </c>
      <c r="D325" s="9" t="str">
        <f>questionnaire!D325</f>
        <v/>
      </c>
      <c r="E325" s="9" t="str">
        <f>questionnaire!E325</f>
        <v/>
      </c>
      <c r="F325" s="9">
        <f>8-questionnaire!F325</f>
        <v>8</v>
      </c>
      <c r="G325" s="9">
        <f>8-questionnaire!G325</f>
        <v>8</v>
      </c>
      <c r="H325" s="9">
        <f>8-questionnaire!H325</f>
        <v>8</v>
      </c>
      <c r="I325" s="9">
        <f>C325*10+D325*5+E325*1.66-(questionnaire!F325*1.66+questionnaire!G325*5+questionnaire!H325*10)</f>
        <v>0</v>
      </c>
    </row>
    <row r="326">
      <c r="A326" s="8" t="str">
        <f>questionnaire!A326</f>
        <v/>
      </c>
      <c r="B326" s="9" t="str">
        <f>questionnaire!B326</f>
        <v/>
      </c>
      <c r="C326" s="9" t="str">
        <f>questionnaire!C326</f>
        <v/>
      </c>
      <c r="D326" s="9" t="str">
        <f>questionnaire!D326</f>
        <v/>
      </c>
      <c r="E326" s="9" t="str">
        <f>questionnaire!E326</f>
        <v/>
      </c>
      <c r="F326" s="9">
        <f>8-questionnaire!F326</f>
        <v>8</v>
      </c>
      <c r="G326" s="9">
        <f>8-questionnaire!G326</f>
        <v>8</v>
      </c>
      <c r="H326" s="9">
        <f>8-questionnaire!H326</f>
        <v>8</v>
      </c>
      <c r="I326" s="9">
        <f>C326*10+D326*5+E326*1.66-(questionnaire!F326*1.66+questionnaire!G326*5+questionnaire!H326*10)</f>
        <v>0</v>
      </c>
    </row>
    <row r="327">
      <c r="A327" s="8" t="str">
        <f>questionnaire!A327</f>
        <v/>
      </c>
      <c r="B327" s="9" t="str">
        <f>questionnaire!B327</f>
        <v/>
      </c>
      <c r="C327" s="9" t="str">
        <f>questionnaire!C327</f>
        <v/>
      </c>
      <c r="D327" s="9" t="str">
        <f>questionnaire!D327</f>
        <v/>
      </c>
      <c r="E327" s="9" t="str">
        <f>questionnaire!E327</f>
        <v/>
      </c>
      <c r="F327" s="9">
        <f>8-questionnaire!F327</f>
        <v>8</v>
      </c>
      <c r="G327" s="9">
        <f>8-questionnaire!G327</f>
        <v>8</v>
      </c>
      <c r="H327" s="9">
        <f>8-questionnaire!H327</f>
        <v>8</v>
      </c>
      <c r="I327" s="9">
        <f>C327*10+D327*5+E327*1.66-(questionnaire!F327*1.66+questionnaire!G327*5+questionnaire!H327*10)</f>
        <v>0</v>
      </c>
    </row>
    <row r="328">
      <c r="A328" s="8" t="str">
        <f>questionnaire!A328</f>
        <v/>
      </c>
      <c r="B328" s="9" t="str">
        <f>questionnaire!B328</f>
        <v/>
      </c>
      <c r="C328" s="9" t="str">
        <f>questionnaire!C328</f>
        <v/>
      </c>
      <c r="D328" s="9" t="str">
        <f>questionnaire!D328</f>
        <v/>
      </c>
      <c r="E328" s="9" t="str">
        <f>questionnaire!E328</f>
        <v/>
      </c>
      <c r="F328" s="9">
        <f>8-questionnaire!F328</f>
        <v>8</v>
      </c>
      <c r="G328" s="9">
        <f>8-questionnaire!G328</f>
        <v>8</v>
      </c>
      <c r="H328" s="9">
        <f>8-questionnaire!H328</f>
        <v>8</v>
      </c>
      <c r="I328" s="9">
        <f>C328*10+D328*5+E328*1.66-(questionnaire!F328*1.66+questionnaire!G328*5+questionnaire!H328*10)</f>
        <v>0</v>
      </c>
    </row>
    <row r="329">
      <c r="A329" s="8" t="str">
        <f>questionnaire!A329</f>
        <v/>
      </c>
      <c r="B329" s="9" t="str">
        <f>questionnaire!B329</f>
        <v/>
      </c>
      <c r="C329" s="9" t="str">
        <f>questionnaire!C329</f>
        <v/>
      </c>
      <c r="D329" s="9" t="str">
        <f>questionnaire!D329</f>
        <v/>
      </c>
      <c r="E329" s="9" t="str">
        <f>questionnaire!E329</f>
        <v/>
      </c>
      <c r="F329" s="9">
        <f>8-questionnaire!F329</f>
        <v>8</v>
      </c>
      <c r="G329" s="9">
        <f>8-questionnaire!G329</f>
        <v>8</v>
      </c>
      <c r="H329" s="9">
        <f>8-questionnaire!H329</f>
        <v>8</v>
      </c>
      <c r="I329" s="9">
        <f>C329*10+D329*5+E329*1.66-(questionnaire!F329*1.66+questionnaire!G329*5+questionnaire!H329*10)</f>
        <v>0</v>
      </c>
    </row>
    <row r="330">
      <c r="A330" s="8" t="str">
        <f>questionnaire!A330</f>
        <v/>
      </c>
      <c r="B330" s="9" t="str">
        <f>questionnaire!B330</f>
        <v/>
      </c>
      <c r="C330" s="9" t="str">
        <f>questionnaire!C330</f>
        <v/>
      </c>
      <c r="D330" s="9" t="str">
        <f>questionnaire!D330</f>
        <v/>
      </c>
      <c r="E330" s="9" t="str">
        <f>questionnaire!E330</f>
        <v/>
      </c>
      <c r="F330" s="9">
        <f>8-questionnaire!F330</f>
        <v>8</v>
      </c>
      <c r="G330" s="9">
        <f>8-questionnaire!G330</f>
        <v>8</v>
      </c>
      <c r="H330" s="9">
        <f>8-questionnaire!H330</f>
        <v>8</v>
      </c>
      <c r="I330" s="9">
        <f>C330*10+D330*5+E330*1.66-(questionnaire!F330*1.66+questionnaire!G330*5+questionnaire!H330*10)</f>
        <v>0</v>
      </c>
    </row>
    <row r="331">
      <c r="A331" s="8" t="str">
        <f>questionnaire!A331</f>
        <v/>
      </c>
      <c r="B331" s="9" t="str">
        <f>questionnaire!B331</f>
        <v/>
      </c>
      <c r="C331" s="9" t="str">
        <f>questionnaire!C331</f>
        <v/>
      </c>
      <c r="D331" s="9" t="str">
        <f>questionnaire!D331</f>
        <v/>
      </c>
      <c r="E331" s="9" t="str">
        <f>questionnaire!E331</f>
        <v/>
      </c>
      <c r="F331" s="9">
        <f>8-questionnaire!F331</f>
        <v>8</v>
      </c>
      <c r="G331" s="9">
        <f>8-questionnaire!G331</f>
        <v>8</v>
      </c>
      <c r="H331" s="9">
        <f>8-questionnaire!H331</f>
        <v>8</v>
      </c>
      <c r="I331" s="9">
        <f>C331*10+D331*5+E331*1.66-(questionnaire!F331*1.66+questionnaire!G331*5+questionnaire!H331*10)</f>
        <v>0</v>
      </c>
    </row>
    <row r="332">
      <c r="A332" s="8" t="str">
        <f>questionnaire!A332</f>
        <v/>
      </c>
      <c r="B332" s="9" t="str">
        <f>questionnaire!B332</f>
        <v/>
      </c>
      <c r="C332" s="9" t="str">
        <f>questionnaire!C332</f>
        <v/>
      </c>
      <c r="D332" s="9" t="str">
        <f>questionnaire!D332</f>
        <v/>
      </c>
      <c r="E332" s="9" t="str">
        <f>questionnaire!E332</f>
        <v/>
      </c>
      <c r="F332" s="9">
        <f>8-questionnaire!F332</f>
        <v>8</v>
      </c>
      <c r="G332" s="9">
        <f>8-questionnaire!G332</f>
        <v>8</v>
      </c>
      <c r="H332" s="9">
        <f>8-questionnaire!H332</f>
        <v>8</v>
      </c>
      <c r="I332" s="9">
        <f>C332*10+D332*5+E332*1.66-(questionnaire!F332*1.66+questionnaire!G332*5+questionnaire!H332*10)</f>
        <v>0</v>
      </c>
    </row>
    <row r="333">
      <c r="A333" s="8" t="str">
        <f>questionnaire!A333</f>
        <v/>
      </c>
      <c r="B333" s="9" t="str">
        <f>questionnaire!B333</f>
        <v/>
      </c>
      <c r="C333" s="9" t="str">
        <f>questionnaire!C333</f>
        <v/>
      </c>
      <c r="D333" s="9" t="str">
        <f>questionnaire!D333</f>
        <v/>
      </c>
      <c r="E333" s="9" t="str">
        <f>questionnaire!E333</f>
        <v/>
      </c>
      <c r="F333" s="9">
        <f>8-questionnaire!F333</f>
        <v>8</v>
      </c>
      <c r="G333" s="9">
        <f>8-questionnaire!G333</f>
        <v>8</v>
      </c>
      <c r="H333" s="9">
        <f>8-questionnaire!H333</f>
        <v>8</v>
      </c>
      <c r="I333" s="9">
        <f>C333*10+D333*5+E333*1.66-(questionnaire!F333*1.66+questionnaire!G333*5+questionnaire!H333*10)</f>
        <v>0</v>
      </c>
    </row>
    <row r="334">
      <c r="A334" s="8" t="str">
        <f>questionnaire!A334</f>
        <v/>
      </c>
      <c r="B334" s="9" t="str">
        <f>questionnaire!B334</f>
        <v/>
      </c>
      <c r="C334" s="9" t="str">
        <f>questionnaire!C334</f>
        <v/>
      </c>
      <c r="D334" s="9" t="str">
        <f>questionnaire!D334</f>
        <v/>
      </c>
      <c r="E334" s="9" t="str">
        <f>questionnaire!E334</f>
        <v/>
      </c>
      <c r="F334" s="9">
        <f>8-questionnaire!F334</f>
        <v>8</v>
      </c>
      <c r="G334" s="9">
        <f>8-questionnaire!G334</f>
        <v>8</v>
      </c>
      <c r="H334" s="9">
        <f>8-questionnaire!H334</f>
        <v>8</v>
      </c>
      <c r="I334" s="9">
        <f>C334*10+D334*5+E334*1.66-(questionnaire!F334*1.66+questionnaire!G334*5+questionnaire!H334*10)</f>
        <v>0</v>
      </c>
    </row>
    <row r="335">
      <c r="A335" s="8" t="str">
        <f>questionnaire!A335</f>
        <v/>
      </c>
      <c r="B335" s="9" t="str">
        <f>questionnaire!B335</f>
        <v/>
      </c>
      <c r="C335" s="9" t="str">
        <f>questionnaire!C335</f>
        <v/>
      </c>
      <c r="D335" s="9" t="str">
        <f>questionnaire!D335</f>
        <v/>
      </c>
      <c r="E335" s="9" t="str">
        <f>questionnaire!E335</f>
        <v/>
      </c>
      <c r="F335" s="9">
        <f>8-questionnaire!F335</f>
        <v>8</v>
      </c>
      <c r="G335" s="9">
        <f>8-questionnaire!G335</f>
        <v>8</v>
      </c>
      <c r="H335" s="9">
        <f>8-questionnaire!H335</f>
        <v>8</v>
      </c>
      <c r="I335" s="9">
        <f>C335*10+D335*5+E335*1.66-(questionnaire!F335*1.66+questionnaire!G335*5+questionnaire!H335*10)</f>
        <v>0</v>
      </c>
    </row>
    <row r="336">
      <c r="A336" s="8" t="str">
        <f>questionnaire!A336</f>
        <v/>
      </c>
      <c r="B336" s="9" t="str">
        <f>questionnaire!B336</f>
        <v/>
      </c>
      <c r="C336" s="9" t="str">
        <f>questionnaire!C336</f>
        <v/>
      </c>
      <c r="D336" s="9" t="str">
        <f>questionnaire!D336</f>
        <v/>
      </c>
      <c r="E336" s="9" t="str">
        <f>questionnaire!E336</f>
        <v/>
      </c>
      <c r="F336" s="9">
        <f>8-questionnaire!F336</f>
        <v>8</v>
      </c>
      <c r="G336" s="9">
        <f>8-questionnaire!G336</f>
        <v>8</v>
      </c>
      <c r="H336" s="9">
        <f>8-questionnaire!H336</f>
        <v>8</v>
      </c>
      <c r="I336" s="9">
        <f>C336*10+D336*5+E336*1.66-(questionnaire!F336*1.66+questionnaire!G336*5+questionnaire!H336*10)</f>
        <v>0</v>
      </c>
    </row>
    <row r="337">
      <c r="A337" s="8" t="str">
        <f>questionnaire!A337</f>
        <v/>
      </c>
      <c r="B337" s="9" t="str">
        <f>questionnaire!B337</f>
        <v/>
      </c>
      <c r="C337" s="9" t="str">
        <f>questionnaire!C337</f>
        <v/>
      </c>
      <c r="D337" s="9" t="str">
        <f>questionnaire!D337</f>
        <v/>
      </c>
      <c r="E337" s="9" t="str">
        <f>questionnaire!E337</f>
        <v/>
      </c>
      <c r="F337" s="9">
        <f>8-questionnaire!F337</f>
        <v>8</v>
      </c>
      <c r="G337" s="9">
        <f>8-questionnaire!G337</f>
        <v>8</v>
      </c>
      <c r="H337" s="9">
        <f>8-questionnaire!H337</f>
        <v>8</v>
      </c>
      <c r="I337" s="9">
        <f>C337*10+D337*5+E337*1.66-(questionnaire!F337*1.66+questionnaire!G337*5+questionnaire!H337*10)</f>
        <v>0</v>
      </c>
    </row>
    <row r="338">
      <c r="A338" s="8" t="str">
        <f>questionnaire!A338</f>
        <v/>
      </c>
      <c r="B338" s="9" t="str">
        <f>questionnaire!B338</f>
        <v/>
      </c>
      <c r="C338" s="9" t="str">
        <f>questionnaire!C338</f>
        <v/>
      </c>
      <c r="D338" s="9" t="str">
        <f>questionnaire!D338</f>
        <v/>
      </c>
      <c r="E338" s="9" t="str">
        <f>questionnaire!E338</f>
        <v/>
      </c>
      <c r="F338" s="9">
        <f>8-questionnaire!F338</f>
        <v>8</v>
      </c>
      <c r="G338" s="9">
        <f>8-questionnaire!G338</f>
        <v>8</v>
      </c>
      <c r="H338" s="9">
        <f>8-questionnaire!H338</f>
        <v>8</v>
      </c>
      <c r="I338" s="9">
        <f>C338*10+D338*5+E338*1.66-(questionnaire!F338*1.66+questionnaire!G338*5+questionnaire!H338*10)</f>
        <v>0</v>
      </c>
    </row>
    <row r="339">
      <c r="A339" s="8" t="str">
        <f>questionnaire!A339</f>
        <v/>
      </c>
      <c r="B339" s="9" t="str">
        <f>questionnaire!B339</f>
        <v/>
      </c>
      <c r="C339" s="9" t="str">
        <f>questionnaire!C339</f>
        <v/>
      </c>
      <c r="D339" s="9" t="str">
        <f>questionnaire!D339</f>
        <v/>
      </c>
      <c r="E339" s="9" t="str">
        <f>questionnaire!E339</f>
        <v/>
      </c>
      <c r="F339" s="9">
        <f>8-questionnaire!F339</f>
        <v>8</v>
      </c>
      <c r="G339" s="9">
        <f>8-questionnaire!G339</f>
        <v>8</v>
      </c>
      <c r="H339" s="9">
        <f>8-questionnaire!H339</f>
        <v>8</v>
      </c>
      <c r="I339" s="9">
        <f>C339*10+D339*5+E339*1.66-(questionnaire!F339*1.66+questionnaire!G339*5+questionnaire!H339*10)</f>
        <v>0</v>
      </c>
    </row>
    <row r="340">
      <c r="A340" s="8" t="str">
        <f>questionnaire!A340</f>
        <v/>
      </c>
      <c r="B340" s="9" t="str">
        <f>questionnaire!B340</f>
        <v/>
      </c>
      <c r="C340" s="9" t="str">
        <f>questionnaire!C340</f>
        <v/>
      </c>
      <c r="D340" s="9" t="str">
        <f>questionnaire!D340</f>
        <v/>
      </c>
      <c r="E340" s="9" t="str">
        <f>questionnaire!E340</f>
        <v/>
      </c>
      <c r="F340" s="9">
        <f>8-questionnaire!F340</f>
        <v>8</v>
      </c>
      <c r="G340" s="9">
        <f>8-questionnaire!G340</f>
        <v>8</v>
      </c>
      <c r="H340" s="9">
        <f>8-questionnaire!H340</f>
        <v>8</v>
      </c>
      <c r="I340" s="9">
        <f>C340*10+D340*5+E340*1.66-(questionnaire!F340*1.66+questionnaire!G340*5+questionnaire!H340*10)</f>
        <v>0</v>
      </c>
    </row>
    <row r="341">
      <c r="A341" s="8" t="str">
        <f>questionnaire!A341</f>
        <v/>
      </c>
      <c r="B341" s="9" t="str">
        <f>questionnaire!B341</f>
        <v/>
      </c>
      <c r="C341" s="9" t="str">
        <f>questionnaire!C341</f>
        <v/>
      </c>
      <c r="D341" s="9" t="str">
        <f>questionnaire!D341</f>
        <v/>
      </c>
      <c r="E341" s="9" t="str">
        <f>questionnaire!E341</f>
        <v/>
      </c>
      <c r="F341" s="9">
        <f>8-questionnaire!F341</f>
        <v>8</v>
      </c>
      <c r="G341" s="9">
        <f>8-questionnaire!G341</f>
        <v>8</v>
      </c>
      <c r="H341" s="9">
        <f>8-questionnaire!H341</f>
        <v>8</v>
      </c>
      <c r="I341" s="9">
        <f>C341*10+D341*5+E341*1.66-(questionnaire!F341*1.66+questionnaire!G341*5+questionnaire!H341*10)</f>
        <v>0</v>
      </c>
    </row>
    <row r="342">
      <c r="A342" s="8" t="str">
        <f>questionnaire!A342</f>
        <v/>
      </c>
      <c r="B342" s="9" t="str">
        <f>questionnaire!B342</f>
        <v/>
      </c>
      <c r="C342" s="9" t="str">
        <f>questionnaire!C342</f>
        <v/>
      </c>
      <c r="D342" s="9" t="str">
        <f>questionnaire!D342</f>
        <v/>
      </c>
      <c r="E342" s="9" t="str">
        <f>questionnaire!E342</f>
        <v/>
      </c>
      <c r="F342" s="9">
        <f>8-questionnaire!F342</f>
        <v>8</v>
      </c>
      <c r="G342" s="9">
        <f>8-questionnaire!G342</f>
        <v>8</v>
      </c>
      <c r="H342" s="9">
        <f>8-questionnaire!H342</f>
        <v>8</v>
      </c>
      <c r="I342" s="9">
        <f>C342*10+D342*5+E342*1.66-(questionnaire!F342*1.66+questionnaire!G342*5+questionnaire!H342*10)</f>
        <v>0</v>
      </c>
    </row>
    <row r="343">
      <c r="A343" s="8" t="str">
        <f>questionnaire!A343</f>
        <v/>
      </c>
      <c r="B343" s="9" t="str">
        <f>questionnaire!B343</f>
        <v/>
      </c>
      <c r="C343" s="9" t="str">
        <f>questionnaire!C343</f>
        <v/>
      </c>
      <c r="D343" s="9" t="str">
        <f>questionnaire!D343</f>
        <v/>
      </c>
      <c r="E343" s="9" t="str">
        <f>questionnaire!E343</f>
        <v/>
      </c>
      <c r="F343" s="9">
        <f>8-questionnaire!F343</f>
        <v>8</v>
      </c>
      <c r="G343" s="9">
        <f>8-questionnaire!G343</f>
        <v>8</v>
      </c>
      <c r="H343" s="9">
        <f>8-questionnaire!H343</f>
        <v>8</v>
      </c>
      <c r="I343" s="9">
        <f>C343*10+D343*5+E343*1.66-(questionnaire!F343*1.66+questionnaire!G343*5+questionnaire!H343*10)</f>
        <v>0</v>
      </c>
    </row>
    <row r="344">
      <c r="A344" s="8" t="str">
        <f>questionnaire!A344</f>
        <v/>
      </c>
      <c r="B344" s="9" t="str">
        <f>questionnaire!B344</f>
        <v/>
      </c>
      <c r="C344" s="9" t="str">
        <f>questionnaire!C344</f>
        <v/>
      </c>
      <c r="D344" s="9" t="str">
        <f>questionnaire!D344</f>
        <v/>
      </c>
      <c r="E344" s="9" t="str">
        <f>questionnaire!E344</f>
        <v/>
      </c>
      <c r="F344" s="9">
        <f>8-questionnaire!F344</f>
        <v>8</v>
      </c>
      <c r="G344" s="9">
        <f>8-questionnaire!G344</f>
        <v>8</v>
      </c>
      <c r="H344" s="9">
        <f>8-questionnaire!H344</f>
        <v>8</v>
      </c>
      <c r="I344" s="9">
        <f>C344*10+D344*5+E344*1.66-(questionnaire!F344*1.66+questionnaire!G344*5+questionnaire!H344*10)</f>
        <v>0</v>
      </c>
    </row>
    <row r="345">
      <c r="A345" s="8" t="str">
        <f>questionnaire!A345</f>
        <v/>
      </c>
      <c r="B345" s="9" t="str">
        <f>questionnaire!B345</f>
        <v/>
      </c>
      <c r="C345" s="9" t="str">
        <f>questionnaire!C345</f>
        <v/>
      </c>
      <c r="D345" s="9" t="str">
        <f>questionnaire!D345</f>
        <v/>
      </c>
      <c r="E345" s="9" t="str">
        <f>questionnaire!E345</f>
        <v/>
      </c>
      <c r="F345" s="9">
        <f>8-questionnaire!F345</f>
        <v>8</v>
      </c>
      <c r="G345" s="9">
        <f>8-questionnaire!G345</f>
        <v>8</v>
      </c>
      <c r="H345" s="9">
        <f>8-questionnaire!H345</f>
        <v>8</v>
      </c>
      <c r="I345" s="9">
        <f>C345*10+D345*5+E345*1.66-(questionnaire!F345*1.66+questionnaire!G345*5+questionnaire!H345*10)</f>
        <v>0</v>
      </c>
    </row>
    <row r="346">
      <c r="A346" s="8" t="str">
        <f>questionnaire!A346</f>
        <v/>
      </c>
      <c r="B346" s="9" t="str">
        <f>questionnaire!B346</f>
        <v/>
      </c>
      <c r="C346" s="9" t="str">
        <f>questionnaire!C346</f>
        <v/>
      </c>
      <c r="D346" s="9" t="str">
        <f>questionnaire!D346</f>
        <v/>
      </c>
      <c r="E346" s="9" t="str">
        <f>questionnaire!E346</f>
        <v/>
      </c>
      <c r="F346" s="9">
        <f>8-questionnaire!F346</f>
        <v>8</v>
      </c>
      <c r="G346" s="9">
        <f>8-questionnaire!G346</f>
        <v>8</v>
      </c>
      <c r="H346" s="9">
        <f>8-questionnaire!H346</f>
        <v>8</v>
      </c>
      <c r="I346" s="9">
        <f>C346*10+D346*5+E346*1.66-(questionnaire!F346*1.66+questionnaire!G346*5+questionnaire!H346*10)</f>
        <v>0</v>
      </c>
    </row>
    <row r="347">
      <c r="A347" s="8" t="str">
        <f>questionnaire!A347</f>
        <v/>
      </c>
      <c r="B347" s="9" t="str">
        <f>questionnaire!B347</f>
        <v/>
      </c>
      <c r="C347" s="9" t="str">
        <f>questionnaire!C347</f>
        <v/>
      </c>
      <c r="D347" s="9" t="str">
        <f>questionnaire!D347</f>
        <v/>
      </c>
      <c r="E347" s="9" t="str">
        <f>questionnaire!E347</f>
        <v/>
      </c>
      <c r="F347" s="9">
        <f>8-questionnaire!F347</f>
        <v>8</v>
      </c>
      <c r="G347" s="9">
        <f>8-questionnaire!G347</f>
        <v>8</v>
      </c>
      <c r="H347" s="9">
        <f>8-questionnaire!H347</f>
        <v>8</v>
      </c>
      <c r="I347" s="9">
        <f>C347*10+D347*5+E347*1.66-(questionnaire!F347*1.66+questionnaire!G347*5+questionnaire!H347*10)</f>
        <v>0</v>
      </c>
    </row>
    <row r="348">
      <c r="A348" s="8" t="str">
        <f>questionnaire!A348</f>
        <v/>
      </c>
      <c r="B348" s="9" t="str">
        <f>questionnaire!B348</f>
        <v/>
      </c>
      <c r="C348" s="9" t="str">
        <f>questionnaire!C348</f>
        <v/>
      </c>
      <c r="D348" s="9" t="str">
        <f>questionnaire!D348</f>
        <v/>
      </c>
      <c r="E348" s="9" t="str">
        <f>questionnaire!E348</f>
        <v/>
      </c>
      <c r="F348" s="9">
        <f>8-questionnaire!F348</f>
        <v>8</v>
      </c>
      <c r="G348" s="9">
        <f>8-questionnaire!G348</f>
        <v>8</v>
      </c>
      <c r="H348" s="9">
        <f>8-questionnaire!H348</f>
        <v>8</v>
      </c>
      <c r="I348" s="9">
        <f>C348*10+D348*5+E348*1.66-(questionnaire!F348*1.66+questionnaire!G348*5+questionnaire!H348*10)</f>
        <v>0</v>
      </c>
    </row>
    <row r="349">
      <c r="A349" s="8" t="str">
        <f>questionnaire!A349</f>
        <v/>
      </c>
      <c r="B349" s="9" t="str">
        <f>questionnaire!B349</f>
        <v/>
      </c>
      <c r="C349" s="9" t="str">
        <f>questionnaire!C349</f>
        <v/>
      </c>
      <c r="D349" s="9" t="str">
        <f>questionnaire!D349</f>
        <v/>
      </c>
      <c r="E349" s="9" t="str">
        <f>questionnaire!E349</f>
        <v/>
      </c>
      <c r="F349" s="9">
        <f>8-questionnaire!F349</f>
        <v>8</v>
      </c>
      <c r="G349" s="9">
        <f>8-questionnaire!G349</f>
        <v>8</v>
      </c>
      <c r="H349" s="9">
        <f>8-questionnaire!H349</f>
        <v>8</v>
      </c>
      <c r="I349" s="9">
        <f>C349*10+D349*5+E349*1.66-(questionnaire!F349*1.66+questionnaire!G349*5+questionnaire!H349*10)</f>
        <v>0</v>
      </c>
    </row>
    <row r="350">
      <c r="A350" s="8" t="str">
        <f>questionnaire!A350</f>
        <v/>
      </c>
      <c r="B350" s="9" t="str">
        <f>questionnaire!B350</f>
        <v/>
      </c>
      <c r="C350" s="9" t="str">
        <f>questionnaire!C350</f>
        <v/>
      </c>
      <c r="D350" s="9" t="str">
        <f>questionnaire!D350</f>
        <v/>
      </c>
      <c r="E350" s="9" t="str">
        <f>questionnaire!E350</f>
        <v/>
      </c>
      <c r="F350" s="9">
        <f>8-questionnaire!F350</f>
        <v>8</v>
      </c>
      <c r="G350" s="9">
        <f>8-questionnaire!G350</f>
        <v>8</v>
      </c>
      <c r="H350" s="9">
        <f>8-questionnaire!H350</f>
        <v>8</v>
      </c>
      <c r="I350" s="9">
        <f>C350*10+D350*5+E350*1.66-(questionnaire!F350*1.66+questionnaire!G350*5+questionnaire!H350*10)</f>
        <v>0</v>
      </c>
    </row>
    <row r="351">
      <c r="A351" s="8" t="str">
        <f>questionnaire!A351</f>
        <v/>
      </c>
      <c r="B351" s="9" t="str">
        <f>questionnaire!B351</f>
        <v/>
      </c>
      <c r="C351" s="9" t="str">
        <f>questionnaire!C351</f>
        <v/>
      </c>
      <c r="D351" s="9" t="str">
        <f>questionnaire!D351</f>
        <v/>
      </c>
      <c r="E351" s="9" t="str">
        <f>questionnaire!E351</f>
        <v/>
      </c>
      <c r="F351" s="9">
        <f>8-questionnaire!F351</f>
        <v>8</v>
      </c>
      <c r="G351" s="9">
        <f>8-questionnaire!G351</f>
        <v>8</v>
      </c>
      <c r="H351" s="9">
        <f>8-questionnaire!H351</f>
        <v>8</v>
      </c>
      <c r="I351" s="9">
        <f>C351*10+D351*5+E351*1.66-(questionnaire!F351*1.66+questionnaire!G351*5+questionnaire!H351*10)</f>
        <v>0</v>
      </c>
    </row>
    <row r="352">
      <c r="A352" s="8" t="str">
        <f>questionnaire!A352</f>
        <v/>
      </c>
      <c r="B352" s="9" t="str">
        <f>questionnaire!B352</f>
        <v/>
      </c>
      <c r="C352" s="9" t="str">
        <f>questionnaire!C352</f>
        <v/>
      </c>
      <c r="D352" s="9" t="str">
        <f>questionnaire!D352</f>
        <v/>
      </c>
      <c r="E352" s="9" t="str">
        <f>questionnaire!E352</f>
        <v/>
      </c>
      <c r="F352" s="9">
        <f>8-questionnaire!F352</f>
        <v>8</v>
      </c>
      <c r="G352" s="9">
        <f>8-questionnaire!G352</f>
        <v>8</v>
      </c>
      <c r="H352" s="9">
        <f>8-questionnaire!H352</f>
        <v>8</v>
      </c>
      <c r="I352" s="9">
        <f>C352*10+D352*5+E352*1.66-(questionnaire!F352*1.66+questionnaire!G352*5+questionnaire!H352*10)</f>
        <v>0</v>
      </c>
    </row>
    <row r="353">
      <c r="A353" s="8" t="str">
        <f>questionnaire!A353</f>
        <v/>
      </c>
      <c r="B353" s="9" t="str">
        <f>questionnaire!B353</f>
        <v/>
      </c>
      <c r="C353" s="9" t="str">
        <f>questionnaire!C353</f>
        <v/>
      </c>
      <c r="D353" s="9" t="str">
        <f>questionnaire!D353</f>
        <v/>
      </c>
      <c r="E353" s="9" t="str">
        <f>questionnaire!E353</f>
        <v/>
      </c>
      <c r="F353" s="9">
        <f>8-questionnaire!F353</f>
        <v>8</v>
      </c>
      <c r="G353" s="9">
        <f>8-questionnaire!G353</f>
        <v>8</v>
      </c>
      <c r="H353" s="9">
        <f>8-questionnaire!H353</f>
        <v>8</v>
      </c>
      <c r="I353" s="9">
        <f>C353*10+D353*5+E353*1.66-(questionnaire!F353*1.66+questionnaire!G353*5+questionnaire!H353*10)</f>
        <v>0</v>
      </c>
    </row>
    <row r="354">
      <c r="A354" s="8" t="str">
        <f>questionnaire!A354</f>
        <v/>
      </c>
      <c r="B354" s="9" t="str">
        <f>questionnaire!B354</f>
        <v/>
      </c>
      <c r="C354" s="9" t="str">
        <f>questionnaire!C354</f>
        <v/>
      </c>
      <c r="D354" s="9" t="str">
        <f>questionnaire!D354</f>
        <v/>
      </c>
      <c r="E354" s="9" t="str">
        <f>questionnaire!E354</f>
        <v/>
      </c>
      <c r="F354" s="9">
        <f>8-questionnaire!F354</f>
        <v>8</v>
      </c>
      <c r="G354" s="9">
        <f>8-questionnaire!G354</f>
        <v>8</v>
      </c>
      <c r="H354" s="9">
        <f>8-questionnaire!H354</f>
        <v>8</v>
      </c>
      <c r="I354" s="9">
        <f>C354*10+D354*5+E354*1.66-(questionnaire!F354*1.66+questionnaire!G354*5+questionnaire!H354*10)</f>
        <v>0</v>
      </c>
    </row>
    <row r="355">
      <c r="A355" s="8" t="str">
        <f>questionnaire!A355</f>
        <v/>
      </c>
      <c r="B355" s="9" t="str">
        <f>questionnaire!B355</f>
        <v/>
      </c>
      <c r="C355" s="9" t="str">
        <f>questionnaire!C355</f>
        <v/>
      </c>
      <c r="D355" s="9" t="str">
        <f>questionnaire!D355</f>
        <v/>
      </c>
      <c r="E355" s="9" t="str">
        <f>questionnaire!E355</f>
        <v/>
      </c>
      <c r="F355" s="9">
        <f>8-questionnaire!F355</f>
        <v>8</v>
      </c>
      <c r="G355" s="9">
        <f>8-questionnaire!G355</f>
        <v>8</v>
      </c>
      <c r="H355" s="9">
        <f>8-questionnaire!H355</f>
        <v>8</v>
      </c>
      <c r="I355" s="9">
        <f>C355*10+D355*5+E355*1.66-(questionnaire!F355*1.66+questionnaire!G355*5+questionnaire!H355*10)</f>
        <v>0</v>
      </c>
    </row>
    <row r="356">
      <c r="A356" s="8" t="str">
        <f>questionnaire!A356</f>
        <v/>
      </c>
      <c r="B356" s="9" t="str">
        <f>questionnaire!B356</f>
        <v/>
      </c>
      <c r="C356" s="9" t="str">
        <f>questionnaire!C356</f>
        <v/>
      </c>
      <c r="D356" s="9" t="str">
        <f>questionnaire!D356</f>
        <v/>
      </c>
      <c r="E356" s="9" t="str">
        <f>questionnaire!E356</f>
        <v/>
      </c>
      <c r="F356" s="9">
        <f>8-questionnaire!F356</f>
        <v>8</v>
      </c>
      <c r="G356" s="9">
        <f>8-questionnaire!G356</f>
        <v>8</v>
      </c>
      <c r="H356" s="9">
        <f>8-questionnaire!H356</f>
        <v>8</v>
      </c>
      <c r="I356" s="9">
        <f>C356*10+D356*5+E356*1.66-(questionnaire!F356*1.66+questionnaire!G356*5+questionnaire!H356*10)</f>
        <v>0</v>
      </c>
    </row>
    <row r="357">
      <c r="A357" s="8" t="str">
        <f>questionnaire!A357</f>
        <v/>
      </c>
      <c r="B357" s="9" t="str">
        <f>questionnaire!B357</f>
        <v/>
      </c>
      <c r="C357" s="9" t="str">
        <f>questionnaire!C357</f>
        <v/>
      </c>
      <c r="D357" s="9" t="str">
        <f>questionnaire!D357</f>
        <v/>
      </c>
      <c r="E357" s="9" t="str">
        <f>questionnaire!E357</f>
        <v/>
      </c>
      <c r="F357" s="9">
        <f>8-questionnaire!F357</f>
        <v>8</v>
      </c>
      <c r="G357" s="9">
        <f>8-questionnaire!G357</f>
        <v>8</v>
      </c>
      <c r="H357" s="9">
        <f>8-questionnaire!H357</f>
        <v>8</v>
      </c>
      <c r="I357" s="9">
        <f>C357*10+D357*5+E357*1.66-(questionnaire!F357*1.66+questionnaire!G357*5+questionnaire!H357*10)</f>
        <v>0</v>
      </c>
    </row>
    <row r="358">
      <c r="A358" s="8" t="str">
        <f>questionnaire!A358</f>
        <v/>
      </c>
      <c r="B358" s="9" t="str">
        <f>questionnaire!B358</f>
        <v/>
      </c>
      <c r="C358" s="9" t="str">
        <f>questionnaire!C358</f>
        <v/>
      </c>
      <c r="D358" s="9" t="str">
        <f>questionnaire!D358</f>
        <v/>
      </c>
      <c r="E358" s="9" t="str">
        <f>questionnaire!E358</f>
        <v/>
      </c>
      <c r="F358" s="9">
        <f>8-questionnaire!F358</f>
        <v>8</v>
      </c>
      <c r="G358" s="9">
        <f>8-questionnaire!G358</f>
        <v>8</v>
      </c>
      <c r="H358" s="9">
        <f>8-questionnaire!H358</f>
        <v>8</v>
      </c>
      <c r="I358" s="9">
        <f>C358*10+D358*5+E358*1.66-(questionnaire!F358*1.66+questionnaire!G358*5+questionnaire!H358*10)</f>
        <v>0</v>
      </c>
    </row>
    <row r="359">
      <c r="A359" s="8" t="str">
        <f>questionnaire!A359</f>
        <v/>
      </c>
      <c r="B359" s="9" t="str">
        <f>questionnaire!B359</f>
        <v/>
      </c>
      <c r="C359" s="9" t="str">
        <f>questionnaire!C359</f>
        <v/>
      </c>
      <c r="D359" s="9" t="str">
        <f>questionnaire!D359</f>
        <v/>
      </c>
      <c r="E359" s="9" t="str">
        <f>questionnaire!E359</f>
        <v/>
      </c>
      <c r="F359" s="9">
        <f>8-questionnaire!F359</f>
        <v>8</v>
      </c>
      <c r="G359" s="9">
        <f>8-questionnaire!G359</f>
        <v>8</v>
      </c>
      <c r="H359" s="9">
        <f>8-questionnaire!H359</f>
        <v>8</v>
      </c>
      <c r="I359" s="9">
        <f>C359*10+D359*5+E359*1.66-(questionnaire!F359*1.66+questionnaire!G359*5+questionnaire!H359*10)</f>
        <v>0</v>
      </c>
    </row>
    <row r="360">
      <c r="A360" s="8" t="str">
        <f>questionnaire!A360</f>
        <v/>
      </c>
      <c r="B360" s="9" t="str">
        <f>questionnaire!B360</f>
        <v/>
      </c>
      <c r="C360" s="9" t="str">
        <f>questionnaire!C360</f>
        <v/>
      </c>
      <c r="D360" s="9" t="str">
        <f>questionnaire!D360</f>
        <v/>
      </c>
      <c r="E360" s="9" t="str">
        <f>questionnaire!E360</f>
        <v/>
      </c>
      <c r="F360" s="9">
        <f>8-questionnaire!F360</f>
        <v>8</v>
      </c>
      <c r="G360" s="9">
        <f>8-questionnaire!G360</f>
        <v>8</v>
      </c>
      <c r="H360" s="9">
        <f>8-questionnaire!H360</f>
        <v>8</v>
      </c>
      <c r="I360" s="9">
        <f>C360*10+D360*5+E360*1.66-(questionnaire!F360*1.66+questionnaire!G360*5+questionnaire!H360*10)</f>
        <v>0</v>
      </c>
    </row>
    <row r="361">
      <c r="A361" s="8" t="str">
        <f>questionnaire!A361</f>
        <v/>
      </c>
      <c r="B361" s="9" t="str">
        <f>questionnaire!B361</f>
        <v/>
      </c>
      <c r="C361" s="9" t="str">
        <f>questionnaire!C361</f>
        <v/>
      </c>
      <c r="D361" s="9" t="str">
        <f>questionnaire!D361</f>
        <v/>
      </c>
      <c r="E361" s="9" t="str">
        <f>questionnaire!E361</f>
        <v/>
      </c>
      <c r="F361" s="9">
        <f>8-questionnaire!F361</f>
        <v>8</v>
      </c>
      <c r="G361" s="9">
        <f>8-questionnaire!G361</f>
        <v>8</v>
      </c>
      <c r="H361" s="9">
        <f>8-questionnaire!H361</f>
        <v>8</v>
      </c>
      <c r="I361" s="9">
        <f>C361*10+D361*5+E361*1.66-(questionnaire!F361*1.66+questionnaire!G361*5+questionnaire!H361*10)</f>
        <v>0</v>
      </c>
    </row>
    <row r="362">
      <c r="A362" s="8" t="str">
        <f>questionnaire!A362</f>
        <v/>
      </c>
      <c r="B362" s="9" t="str">
        <f>questionnaire!B362</f>
        <v/>
      </c>
      <c r="C362" s="9" t="str">
        <f>questionnaire!C362</f>
        <v/>
      </c>
      <c r="D362" s="9" t="str">
        <f>questionnaire!D362</f>
        <v/>
      </c>
      <c r="E362" s="9" t="str">
        <f>questionnaire!E362</f>
        <v/>
      </c>
      <c r="F362" s="9">
        <f>8-questionnaire!F362</f>
        <v>8</v>
      </c>
      <c r="G362" s="9">
        <f>8-questionnaire!G362</f>
        <v>8</v>
      </c>
      <c r="H362" s="9">
        <f>8-questionnaire!H362</f>
        <v>8</v>
      </c>
      <c r="I362" s="9">
        <f>C362*10+D362*5+E362*1.66-(questionnaire!F362*1.66+questionnaire!G362*5+questionnaire!H362*10)</f>
        <v>0</v>
      </c>
    </row>
    <row r="363">
      <c r="A363" s="8" t="str">
        <f>questionnaire!A363</f>
        <v/>
      </c>
      <c r="B363" s="9" t="str">
        <f>questionnaire!B363</f>
        <v/>
      </c>
      <c r="C363" s="9" t="str">
        <f>questionnaire!C363</f>
        <v/>
      </c>
      <c r="D363" s="9" t="str">
        <f>questionnaire!D363</f>
        <v/>
      </c>
      <c r="E363" s="9" t="str">
        <f>questionnaire!E363</f>
        <v/>
      </c>
      <c r="F363" s="9">
        <f>8-questionnaire!F363</f>
        <v>8</v>
      </c>
      <c r="G363" s="9">
        <f>8-questionnaire!G363</f>
        <v>8</v>
      </c>
      <c r="H363" s="9">
        <f>8-questionnaire!H363</f>
        <v>8</v>
      </c>
      <c r="I363" s="9">
        <f>C363*10+D363*5+E363*1.66-(questionnaire!F363*1.66+questionnaire!G363*5+questionnaire!H363*10)</f>
        <v>0</v>
      </c>
    </row>
    <row r="364">
      <c r="A364" s="8" t="str">
        <f>questionnaire!A364</f>
        <v/>
      </c>
      <c r="B364" s="9" t="str">
        <f>questionnaire!B364</f>
        <v/>
      </c>
      <c r="C364" s="9" t="str">
        <f>questionnaire!C364</f>
        <v/>
      </c>
      <c r="D364" s="9" t="str">
        <f>questionnaire!D364</f>
        <v/>
      </c>
      <c r="E364" s="9" t="str">
        <f>questionnaire!E364</f>
        <v/>
      </c>
      <c r="F364" s="9">
        <f>8-questionnaire!F364</f>
        <v>8</v>
      </c>
      <c r="G364" s="9">
        <f>8-questionnaire!G364</f>
        <v>8</v>
      </c>
      <c r="H364" s="9">
        <f>8-questionnaire!H364</f>
        <v>8</v>
      </c>
      <c r="I364" s="9">
        <f>C364*10+D364*5+E364*1.66-(questionnaire!F364*1.66+questionnaire!G364*5+questionnaire!H364*10)</f>
        <v>0</v>
      </c>
    </row>
    <row r="365">
      <c r="A365" s="8" t="str">
        <f>questionnaire!A365</f>
        <v/>
      </c>
      <c r="B365" s="9" t="str">
        <f>questionnaire!B365</f>
        <v/>
      </c>
      <c r="C365" s="9" t="str">
        <f>questionnaire!C365</f>
        <v/>
      </c>
      <c r="D365" s="9" t="str">
        <f>questionnaire!D365</f>
        <v/>
      </c>
      <c r="E365" s="9" t="str">
        <f>questionnaire!E365</f>
        <v/>
      </c>
      <c r="F365" s="9">
        <f>8-questionnaire!F365</f>
        <v>8</v>
      </c>
      <c r="G365" s="9">
        <f>8-questionnaire!G365</f>
        <v>8</v>
      </c>
      <c r="H365" s="9">
        <f>8-questionnaire!H365</f>
        <v>8</v>
      </c>
      <c r="I365" s="9">
        <f>C365*10+D365*5+E365*1.66-(questionnaire!F365*1.66+questionnaire!G365*5+questionnaire!H365*10)</f>
        <v>0</v>
      </c>
    </row>
    <row r="366">
      <c r="A366" s="8" t="str">
        <f>questionnaire!A366</f>
        <v/>
      </c>
      <c r="B366" s="9" t="str">
        <f>questionnaire!B366</f>
        <v/>
      </c>
      <c r="C366" s="9" t="str">
        <f>questionnaire!C366</f>
        <v/>
      </c>
      <c r="D366" s="9" t="str">
        <f>questionnaire!D366</f>
        <v/>
      </c>
      <c r="E366" s="9" t="str">
        <f>questionnaire!E366</f>
        <v/>
      </c>
      <c r="F366" s="9">
        <f>8-questionnaire!F366</f>
        <v>8</v>
      </c>
      <c r="G366" s="9">
        <f>8-questionnaire!G366</f>
        <v>8</v>
      </c>
      <c r="H366" s="9">
        <f>8-questionnaire!H366</f>
        <v>8</v>
      </c>
      <c r="I366" s="9">
        <f>C366*10+D366*5+E366*1.66-(questionnaire!F366*1.66+questionnaire!G366*5+questionnaire!H366*10)</f>
        <v>0</v>
      </c>
    </row>
    <row r="367">
      <c r="A367" s="8" t="str">
        <f>questionnaire!A367</f>
        <v/>
      </c>
      <c r="B367" s="9" t="str">
        <f>questionnaire!B367</f>
        <v/>
      </c>
      <c r="C367" s="9" t="str">
        <f>questionnaire!C367</f>
        <v/>
      </c>
      <c r="D367" s="9" t="str">
        <f>questionnaire!D367</f>
        <v/>
      </c>
      <c r="E367" s="9" t="str">
        <f>questionnaire!E367</f>
        <v/>
      </c>
      <c r="F367" s="9">
        <f>8-questionnaire!F367</f>
        <v>8</v>
      </c>
      <c r="G367" s="9">
        <f>8-questionnaire!G367</f>
        <v>8</v>
      </c>
      <c r="H367" s="9">
        <f>8-questionnaire!H367</f>
        <v>8</v>
      </c>
      <c r="I367" s="9">
        <f>C367*10+D367*5+E367*1.66-(questionnaire!F367*1.66+questionnaire!G367*5+questionnaire!H367*10)</f>
        <v>0</v>
      </c>
    </row>
    <row r="368">
      <c r="A368" s="8" t="str">
        <f>questionnaire!A368</f>
        <v/>
      </c>
      <c r="B368" s="9" t="str">
        <f>questionnaire!B368</f>
        <v/>
      </c>
      <c r="C368" s="9" t="str">
        <f>questionnaire!C368</f>
        <v/>
      </c>
      <c r="D368" s="9" t="str">
        <f>questionnaire!D368</f>
        <v/>
      </c>
      <c r="E368" s="9" t="str">
        <f>questionnaire!E368</f>
        <v/>
      </c>
      <c r="F368" s="9">
        <f>8-questionnaire!F368</f>
        <v>8</v>
      </c>
      <c r="G368" s="9">
        <f>8-questionnaire!G368</f>
        <v>8</v>
      </c>
      <c r="H368" s="9">
        <f>8-questionnaire!H368</f>
        <v>8</v>
      </c>
      <c r="I368" s="9">
        <f>C368*10+D368*5+E368*1.66-(questionnaire!F368*1.66+questionnaire!G368*5+questionnaire!H368*10)</f>
        <v>0</v>
      </c>
    </row>
    <row r="369">
      <c r="A369" s="8" t="str">
        <f>questionnaire!A369</f>
        <v/>
      </c>
      <c r="B369" s="9" t="str">
        <f>questionnaire!B369</f>
        <v/>
      </c>
      <c r="C369" s="9" t="str">
        <f>questionnaire!C369</f>
        <v/>
      </c>
      <c r="D369" s="9" t="str">
        <f>questionnaire!D369</f>
        <v/>
      </c>
      <c r="E369" s="9" t="str">
        <f>questionnaire!E369</f>
        <v/>
      </c>
      <c r="F369" s="9">
        <f>8-questionnaire!F369</f>
        <v>8</v>
      </c>
      <c r="G369" s="9">
        <f>8-questionnaire!G369</f>
        <v>8</v>
      </c>
      <c r="H369" s="9">
        <f>8-questionnaire!H369</f>
        <v>8</v>
      </c>
      <c r="I369" s="9">
        <f>C369*10+D369*5+E369*1.66-(questionnaire!F369*1.66+questionnaire!G369*5+questionnaire!H369*10)</f>
        <v>0</v>
      </c>
    </row>
    <row r="370">
      <c r="A370" s="8" t="str">
        <f>questionnaire!A370</f>
        <v/>
      </c>
      <c r="B370" s="9" t="str">
        <f>questionnaire!B370</f>
        <v/>
      </c>
      <c r="C370" s="9" t="str">
        <f>questionnaire!C370</f>
        <v/>
      </c>
      <c r="D370" s="9" t="str">
        <f>questionnaire!D370</f>
        <v/>
      </c>
      <c r="E370" s="9" t="str">
        <f>questionnaire!E370</f>
        <v/>
      </c>
      <c r="F370" s="9">
        <f>8-questionnaire!F370</f>
        <v>8</v>
      </c>
      <c r="G370" s="9">
        <f>8-questionnaire!G370</f>
        <v>8</v>
      </c>
      <c r="H370" s="9">
        <f>8-questionnaire!H370</f>
        <v>8</v>
      </c>
      <c r="I370" s="9">
        <f>C370*10+D370*5+E370*1.66-(questionnaire!F370*1.66+questionnaire!G370*5+questionnaire!H370*10)</f>
        <v>0</v>
      </c>
    </row>
    <row r="371">
      <c r="A371" s="8" t="str">
        <f>questionnaire!A371</f>
        <v/>
      </c>
      <c r="B371" s="9" t="str">
        <f>questionnaire!B371</f>
        <v/>
      </c>
      <c r="C371" s="9" t="str">
        <f>questionnaire!C371</f>
        <v/>
      </c>
      <c r="D371" s="9" t="str">
        <f>questionnaire!D371</f>
        <v/>
      </c>
      <c r="E371" s="9" t="str">
        <f>questionnaire!E371</f>
        <v/>
      </c>
      <c r="F371" s="9">
        <f>8-questionnaire!F371</f>
        <v>8</v>
      </c>
      <c r="G371" s="9">
        <f>8-questionnaire!G371</f>
        <v>8</v>
      </c>
      <c r="H371" s="9">
        <f>8-questionnaire!H371</f>
        <v>8</v>
      </c>
      <c r="I371" s="9">
        <f>C371*10+D371*5+E371*1.66-(questionnaire!F371*1.66+questionnaire!G371*5+questionnaire!H371*10)</f>
        <v>0</v>
      </c>
    </row>
    <row r="372">
      <c r="A372" s="8" t="str">
        <f>questionnaire!A372</f>
        <v/>
      </c>
      <c r="B372" s="9" t="str">
        <f>questionnaire!B372</f>
        <v/>
      </c>
      <c r="C372" s="9" t="str">
        <f>questionnaire!C372</f>
        <v/>
      </c>
      <c r="D372" s="9" t="str">
        <f>questionnaire!D372</f>
        <v/>
      </c>
      <c r="E372" s="9" t="str">
        <f>questionnaire!E372</f>
        <v/>
      </c>
      <c r="F372" s="9">
        <f>8-questionnaire!F372</f>
        <v>8</v>
      </c>
      <c r="G372" s="9">
        <f>8-questionnaire!G372</f>
        <v>8</v>
      </c>
      <c r="H372" s="9">
        <f>8-questionnaire!H372</f>
        <v>8</v>
      </c>
      <c r="I372" s="9">
        <f>C372*10+D372*5+E372*1.66-(questionnaire!F372*1.66+questionnaire!G372*5+questionnaire!H372*10)</f>
        <v>0</v>
      </c>
    </row>
    <row r="373">
      <c r="A373" s="8" t="str">
        <f>questionnaire!A373</f>
        <v/>
      </c>
      <c r="B373" s="9" t="str">
        <f>questionnaire!B373</f>
        <v/>
      </c>
      <c r="C373" s="9" t="str">
        <f>questionnaire!C373</f>
        <v/>
      </c>
      <c r="D373" s="9" t="str">
        <f>questionnaire!D373</f>
        <v/>
      </c>
      <c r="E373" s="9" t="str">
        <f>questionnaire!E373</f>
        <v/>
      </c>
      <c r="F373" s="9">
        <f>8-questionnaire!F373</f>
        <v>8</v>
      </c>
      <c r="G373" s="9">
        <f>8-questionnaire!G373</f>
        <v>8</v>
      </c>
      <c r="H373" s="9">
        <f>8-questionnaire!H373</f>
        <v>8</v>
      </c>
      <c r="I373" s="9">
        <f>C373*10+D373*5+E373*1.66-(questionnaire!F373*1.66+questionnaire!G373*5+questionnaire!H373*10)</f>
        <v>0</v>
      </c>
    </row>
    <row r="374">
      <c r="A374" s="8" t="str">
        <f>questionnaire!A374</f>
        <v/>
      </c>
      <c r="B374" s="9" t="str">
        <f>questionnaire!B374</f>
        <v/>
      </c>
      <c r="C374" s="9" t="str">
        <f>questionnaire!C374</f>
        <v/>
      </c>
      <c r="D374" s="9" t="str">
        <f>questionnaire!D374</f>
        <v/>
      </c>
      <c r="E374" s="9" t="str">
        <f>questionnaire!E374</f>
        <v/>
      </c>
      <c r="F374" s="9">
        <f>8-questionnaire!F374</f>
        <v>8</v>
      </c>
      <c r="G374" s="9">
        <f>8-questionnaire!G374</f>
        <v>8</v>
      </c>
      <c r="H374" s="9">
        <f>8-questionnaire!H374</f>
        <v>8</v>
      </c>
      <c r="I374" s="9">
        <f>C374*10+D374*5+E374*1.66-(questionnaire!F374*1.66+questionnaire!G374*5+questionnaire!H374*10)</f>
        <v>0</v>
      </c>
    </row>
    <row r="375">
      <c r="A375" s="8" t="str">
        <f>questionnaire!A375</f>
        <v/>
      </c>
      <c r="B375" s="9" t="str">
        <f>questionnaire!B375</f>
        <v/>
      </c>
      <c r="C375" s="9" t="str">
        <f>questionnaire!C375</f>
        <v/>
      </c>
      <c r="D375" s="9" t="str">
        <f>questionnaire!D375</f>
        <v/>
      </c>
      <c r="E375" s="9" t="str">
        <f>questionnaire!E375</f>
        <v/>
      </c>
      <c r="F375" s="9">
        <f>8-questionnaire!F375</f>
        <v>8</v>
      </c>
      <c r="G375" s="9">
        <f>8-questionnaire!G375</f>
        <v>8</v>
      </c>
      <c r="H375" s="9">
        <f>8-questionnaire!H375</f>
        <v>8</v>
      </c>
      <c r="I375" s="9">
        <f>C375*10+D375*5+E375*1.66-(questionnaire!F375*1.66+questionnaire!G375*5+questionnaire!H375*10)</f>
        <v>0</v>
      </c>
    </row>
    <row r="376">
      <c r="A376" s="8" t="str">
        <f>questionnaire!A376</f>
        <v/>
      </c>
      <c r="B376" s="9" t="str">
        <f>questionnaire!B376</f>
        <v/>
      </c>
      <c r="C376" s="9" t="str">
        <f>questionnaire!C376</f>
        <v/>
      </c>
      <c r="D376" s="9" t="str">
        <f>questionnaire!D376</f>
        <v/>
      </c>
      <c r="E376" s="9" t="str">
        <f>questionnaire!E376</f>
        <v/>
      </c>
      <c r="F376" s="9">
        <f>8-questionnaire!F376</f>
        <v>8</v>
      </c>
      <c r="G376" s="9">
        <f>8-questionnaire!G376</f>
        <v>8</v>
      </c>
      <c r="H376" s="9">
        <f>8-questionnaire!H376</f>
        <v>8</v>
      </c>
      <c r="I376" s="9">
        <f>C376*10+D376*5+E376*1.66-(questionnaire!F376*1.66+questionnaire!G376*5+questionnaire!H376*10)</f>
        <v>0</v>
      </c>
    </row>
    <row r="377">
      <c r="A377" s="8" t="str">
        <f>questionnaire!A377</f>
        <v/>
      </c>
      <c r="B377" s="9" t="str">
        <f>questionnaire!B377</f>
        <v/>
      </c>
      <c r="C377" s="9" t="str">
        <f>questionnaire!C377</f>
        <v/>
      </c>
      <c r="D377" s="9" t="str">
        <f>questionnaire!D377</f>
        <v/>
      </c>
      <c r="E377" s="9" t="str">
        <f>questionnaire!E377</f>
        <v/>
      </c>
      <c r="F377" s="9">
        <f>8-questionnaire!F377</f>
        <v>8</v>
      </c>
      <c r="G377" s="9">
        <f>8-questionnaire!G377</f>
        <v>8</v>
      </c>
      <c r="H377" s="9">
        <f>8-questionnaire!H377</f>
        <v>8</v>
      </c>
      <c r="I377" s="9">
        <f>C377*10+D377*5+E377*1.66-(questionnaire!F377*1.66+questionnaire!G377*5+questionnaire!H377*10)</f>
        <v>0</v>
      </c>
    </row>
    <row r="378">
      <c r="A378" s="8" t="str">
        <f>questionnaire!A378</f>
        <v/>
      </c>
      <c r="B378" s="9" t="str">
        <f>questionnaire!B378</f>
        <v/>
      </c>
      <c r="C378" s="9" t="str">
        <f>questionnaire!C378</f>
        <v/>
      </c>
      <c r="D378" s="9" t="str">
        <f>questionnaire!D378</f>
        <v/>
      </c>
      <c r="E378" s="9" t="str">
        <f>questionnaire!E378</f>
        <v/>
      </c>
      <c r="F378" s="9">
        <f>8-questionnaire!F378</f>
        <v>8</v>
      </c>
      <c r="G378" s="9">
        <f>8-questionnaire!G378</f>
        <v>8</v>
      </c>
      <c r="H378" s="9">
        <f>8-questionnaire!H378</f>
        <v>8</v>
      </c>
      <c r="I378" s="9">
        <f>C378*10+D378*5+E378*1.66-(questionnaire!F378*1.66+questionnaire!G378*5+questionnaire!H378*10)</f>
        <v>0</v>
      </c>
    </row>
    <row r="379">
      <c r="A379" s="8" t="str">
        <f>questionnaire!A379</f>
        <v/>
      </c>
      <c r="B379" s="9" t="str">
        <f>questionnaire!B379</f>
        <v/>
      </c>
      <c r="C379" s="9" t="str">
        <f>questionnaire!C379</f>
        <v/>
      </c>
      <c r="D379" s="9" t="str">
        <f>questionnaire!D379</f>
        <v/>
      </c>
      <c r="E379" s="9" t="str">
        <f>questionnaire!E379</f>
        <v/>
      </c>
      <c r="F379" s="9">
        <f>8-questionnaire!F379</f>
        <v>8</v>
      </c>
      <c r="G379" s="9">
        <f>8-questionnaire!G379</f>
        <v>8</v>
      </c>
      <c r="H379" s="9">
        <f>8-questionnaire!H379</f>
        <v>8</v>
      </c>
      <c r="I379" s="9">
        <f>C379*10+D379*5+E379*1.66-(questionnaire!F379*1.66+questionnaire!G379*5+questionnaire!H379*10)</f>
        <v>0</v>
      </c>
    </row>
    <row r="380">
      <c r="A380" s="8" t="str">
        <f>questionnaire!A380</f>
        <v/>
      </c>
      <c r="B380" s="9" t="str">
        <f>questionnaire!B380</f>
        <v/>
      </c>
      <c r="C380" s="9" t="str">
        <f>questionnaire!C380</f>
        <v/>
      </c>
      <c r="D380" s="9" t="str">
        <f>questionnaire!D380</f>
        <v/>
      </c>
      <c r="E380" s="9" t="str">
        <f>questionnaire!E380</f>
        <v/>
      </c>
      <c r="F380" s="9">
        <f>8-questionnaire!F380</f>
        <v>8</v>
      </c>
      <c r="G380" s="9">
        <f>8-questionnaire!G380</f>
        <v>8</v>
      </c>
      <c r="H380" s="9">
        <f>8-questionnaire!H380</f>
        <v>8</v>
      </c>
      <c r="I380" s="9">
        <f>C380*10+D380*5+E380*1.66-(questionnaire!F380*1.66+questionnaire!G380*5+questionnaire!H380*10)</f>
        <v>0</v>
      </c>
    </row>
    <row r="381">
      <c r="A381" s="8" t="str">
        <f>questionnaire!A381</f>
        <v/>
      </c>
      <c r="B381" s="9" t="str">
        <f>questionnaire!B381</f>
        <v/>
      </c>
      <c r="C381" s="9" t="str">
        <f>questionnaire!C381</f>
        <v/>
      </c>
      <c r="D381" s="9" t="str">
        <f>questionnaire!D381</f>
        <v/>
      </c>
      <c r="E381" s="9" t="str">
        <f>questionnaire!E381</f>
        <v/>
      </c>
      <c r="F381" s="9">
        <f>8-questionnaire!F381</f>
        <v>8</v>
      </c>
      <c r="G381" s="9">
        <f>8-questionnaire!G381</f>
        <v>8</v>
      </c>
      <c r="H381" s="9">
        <f>8-questionnaire!H381</f>
        <v>8</v>
      </c>
      <c r="I381" s="9">
        <f>C381*10+D381*5+E381*1.66-(questionnaire!F381*1.66+questionnaire!G381*5+questionnaire!H381*10)</f>
        <v>0</v>
      </c>
    </row>
    <row r="382">
      <c r="A382" s="8" t="str">
        <f>questionnaire!A382</f>
        <v/>
      </c>
      <c r="B382" s="9" t="str">
        <f>questionnaire!B382</f>
        <v/>
      </c>
      <c r="C382" s="9" t="str">
        <f>questionnaire!C382</f>
        <v/>
      </c>
      <c r="D382" s="9" t="str">
        <f>questionnaire!D382</f>
        <v/>
      </c>
      <c r="E382" s="9" t="str">
        <f>questionnaire!E382</f>
        <v/>
      </c>
      <c r="F382" s="9">
        <f>8-questionnaire!F382</f>
        <v>8</v>
      </c>
      <c r="G382" s="9">
        <f>8-questionnaire!G382</f>
        <v>8</v>
      </c>
      <c r="H382" s="9">
        <f>8-questionnaire!H382</f>
        <v>8</v>
      </c>
      <c r="I382" s="9">
        <f>C382*10+D382*5+E382*1.66-(questionnaire!F382*1.66+questionnaire!G382*5+questionnaire!H382*10)</f>
        <v>0</v>
      </c>
    </row>
    <row r="383">
      <c r="A383" s="8" t="str">
        <f>questionnaire!A383</f>
        <v/>
      </c>
      <c r="B383" s="9" t="str">
        <f>questionnaire!B383</f>
        <v/>
      </c>
      <c r="C383" s="9" t="str">
        <f>questionnaire!C383</f>
        <v/>
      </c>
      <c r="D383" s="9" t="str">
        <f>questionnaire!D383</f>
        <v/>
      </c>
      <c r="E383" s="9" t="str">
        <f>questionnaire!E383</f>
        <v/>
      </c>
      <c r="F383" s="9">
        <f>8-questionnaire!F383</f>
        <v>8</v>
      </c>
      <c r="G383" s="9">
        <f>8-questionnaire!G383</f>
        <v>8</v>
      </c>
      <c r="H383" s="9">
        <f>8-questionnaire!H383</f>
        <v>8</v>
      </c>
      <c r="I383" s="9">
        <f>C383*10+D383*5+E383*1.66-(questionnaire!F383*1.66+questionnaire!G383*5+questionnaire!H383*10)</f>
        <v>0</v>
      </c>
    </row>
    <row r="384">
      <c r="A384" s="8" t="str">
        <f>questionnaire!A384</f>
        <v/>
      </c>
      <c r="B384" s="9" t="str">
        <f>questionnaire!B384</f>
        <v/>
      </c>
      <c r="C384" s="9" t="str">
        <f>questionnaire!C384</f>
        <v/>
      </c>
      <c r="D384" s="9" t="str">
        <f>questionnaire!D384</f>
        <v/>
      </c>
      <c r="E384" s="9" t="str">
        <f>questionnaire!E384</f>
        <v/>
      </c>
      <c r="F384" s="9">
        <f>8-questionnaire!F384</f>
        <v>8</v>
      </c>
      <c r="G384" s="9">
        <f>8-questionnaire!G384</f>
        <v>8</v>
      </c>
      <c r="H384" s="9">
        <f>8-questionnaire!H384</f>
        <v>8</v>
      </c>
      <c r="I384" s="9">
        <f>C384*10+D384*5+E384*1.66-(questionnaire!F384*1.66+questionnaire!G384*5+questionnaire!H384*10)</f>
        <v>0</v>
      </c>
    </row>
    <row r="385">
      <c r="A385" s="8" t="str">
        <f>questionnaire!A385</f>
        <v/>
      </c>
      <c r="B385" s="9" t="str">
        <f>questionnaire!B385</f>
        <v/>
      </c>
      <c r="C385" s="9" t="str">
        <f>questionnaire!C385</f>
        <v/>
      </c>
      <c r="D385" s="9" t="str">
        <f>questionnaire!D385</f>
        <v/>
      </c>
      <c r="E385" s="9" t="str">
        <f>questionnaire!E385</f>
        <v/>
      </c>
      <c r="F385" s="9">
        <f>8-questionnaire!F385</f>
        <v>8</v>
      </c>
      <c r="G385" s="9">
        <f>8-questionnaire!G385</f>
        <v>8</v>
      </c>
      <c r="H385" s="9">
        <f>8-questionnaire!H385</f>
        <v>8</v>
      </c>
      <c r="I385" s="9">
        <f>C385*10+D385*5+E385*1.66-(questionnaire!F385*1.66+questionnaire!G385*5+questionnaire!H385*10)</f>
        <v>0</v>
      </c>
    </row>
    <row r="386">
      <c r="A386" s="8" t="str">
        <f>questionnaire!A386</f>
        <v/>
      </c>
      <c r="B386" s="9" t="str">
        <f>questionnaire!B386</f>
        <v/>
      </c>
      <c r="C386" s="9" t="str">
        <f>questionnaire!C386</f>
        <v/>
      </c>
      <c r="D386" s="9" t="str">
        <f>questionnaire!D386</f>
        <v/>
      </c>
      <c r="E386" s="9" t="str">
        <f>questionnaire!E386</f>
        <v/>
      </c>
      <c r="F386" s="9">
        <f>8-questionnaire!F386</f>
        <v>8</v>
      </c>
      <c r="G386" s="9">
        <f>8-questionnaire!G386</f>
        <v>8</v>
      </c>
      <c r="H386" s="9">
        <f>8-questionnaire!H386</f>
        <v>8</v>
      </c>
      <c r="I386" s="9">
        <f>C386*10+D386*5+E386*1.66-(questionnaire!F386*1.66+questionnaire!G386*5+questionnaire!H386*10)</f>
        <v>0</v>
      </c>
    </row>
    <row r="387">
      <c r="A387" s="8" t="str">
        <f>questionnaire!A387</f>
        <v/>
      </c>
      <c r="B387" s="9" t="str">
        <f>questionnaire!B387</f>
        <v/>
      </c>
      <c r="C387" s="9" t="str">
        <f>questionnaire!C387</f>
        <v/>
      </c>
      <c r="D387" s="9" t="str">
        <f>questionnaire!D387</f>
        <v/>
      </c>
      <c r="E387" s="9" t="str">
        <f>questionnaire!E387</f>
        <v/>
      </c>
      <c r="F387" s="9">
        <f>8-questionnaire!F387</f>
        <v>8</v>
      </c>
      <c r="G387" s="9">
        <f>8-questionnaire!G387</f>
        <v>8</v>
      </c>
      <c r="H387" s="9">
        <f>8-questionnaire!H387</f>
        <v>8</v>
      </c>
      <c r="I387" s="9">
        <f>C387*10+D387*5+E387*1.66-(questionnaire!F387*1.66+questionnaire!G387*5+questionnaire!H387*10)</f>
        <v>0</v>
      </c>
    </row>
    <row r="388">
      <c r="A388" s="8" t="str">
        <f>questionnaire!A388</f>
        <v/>
      </c>
      <c r="B388" s="9" t="str">
        <f>questionnaire!B388</f>
        <v/>
      </c>
      <c r="C388" s="9" t="str">
        <f>questionnaire!C388</f>
        <v/>
      </c>
      <c r="D388" s="9" t="str">
        <f>questionnaire!D388</f>
        <v/>
      </c>
      <c r="E388" s="9" t="str">
        <f>questionnaire!E388</f>
        <v/>
      </c>
      <c r="F388" s="9">
        <f>8-questionnaire!F388</f>
        <v>8</v>
      </c>
      <c r="G388" s="9">
        <f>8-questionnaire!G388</f>
        <v>8</v>
      </c>
      <c r="H388" s="9">
        <f>8-questionnaire!H388</f>
        <v>8</v>
      </c>
      <c r="I388" s="9">
        <f>C388*10+D388*5+E388*1.66-(questionnaire!F388*1.66+questionnaire!G388*5+questionnaire!H388*10)</f>
        <v>0</v>
      </c>
    </row>
    <row r="389">
      <c r="A389" s="8" t="str">
        <f>questionnaire!A389</f>
        <v/>
      </c>
      <c r="B389" s="9" t="str">
        <f>questionnaire!B389</f>
        <v/>
      </c>
      <c r="C389" s="9" t="str">
        <f>questionnaire!C389</f>
        <v/>
      </c>
      <c r="D389" s="9" t="str">
        <f>questionnaire!D389</f>
        <v/>
      </c>
      <c r="E389" s="9" t="str">
        <f>questionnaire!E389</f>
        <v/>
      </c>
      <c r="F389" s="9">
        <f>8-questionnaire!F389</f>
        <v>8</v>
      </c>
      <c r="G389" s="9">
        <f>8-questionnaire!G389</f>
        <v>8</v>
      </c>
      <c r="H389" s="9">
        <f>8-questionnaire!H389</f>
        <v>8</v>
      </c>
      <c r="I389" s="9">
        <f>C389*10+D389*5+E389*1.66-(questionnaire!F389*1.66+questionnaire!G389*5+questionnaire!H389*10)</f>
        <v>0</v>
      </c>
    </row>
    <row r="390">
      <c r="A390" s="8" t="str">
        <f>questionnaire!A390</f>
        <v/>
      </c>
      <c r="B390" s="9" t="str">
        <f>questionnaire!B390</f>
        <v/>
      </c>
      <c r="C390" s="9" t="str">
        <f>questionnaire!C390</f>
        <v/>
      </c>
      <c r="D390" s="9" t="str">
        <f>questionnaire!D390</f>
        <v/>
      </c>
      <c r="E390" s="9" t="str">
        <f>questionnaire!E390</f>
        <v/>
      </c>
      <c r="F390" s="9">
        <f>8-questionnaire!F390</f>
        <v>8</v>
      </c>
      <c r="G390" s="9">
        <f>8-questionnaire!G390</f>
        <v>8</v>
      </c>
      <c r="H390" s="9">
        <f>8-questionnaire!H390</f>
        <v>8</v>
      </c>
      <c r="I390" s="9">
        <f>C390*10+D390*5+E390*1.66-(questionnaire!F390*1.66+questionnaire!G390*5+questionnaire!H390*10)</f>
        <v>0</v>
      </c>
    </row>
    <row r="391">
      <c r="A391" s="8" t="str">
        <f>questionnaire!A391</f>
        <v/>
      </c>
      <c r="B391" s="9" t="str">
        <f>questionnaire!B391</f>
        <v/>
      </c>
      <c r="C391" s="9" t="str">
        <f>questionnaire!C391</f>
        <v/>
      </c>
      <c r="D391" s="9" t="str">
        <f>questionnaire!D391</f>
        <v/>
      </c>
      <c r="E391" s="9" t="str">
        <f>questionnaire!E391</f>
        <v/>
      </c>
      <c r="F391" s="9">
        <f>8-questionnaire!F391</f>
        <v>8</v>
      </c>
      <c r="G391" s="9">
        <f>8-questionnaire!G391</f>
        <v>8</v>
      </c>
      <c r="H391" s="9">
        <f>8-questionnaire!H391</f>
        <v>8</v>
      </c>
      <c r="I391" s="9">
        <f>C391*10+D391*5+E391*1.66-(questionnaire!F391*1.66+questionnaire!G391*5+questionnaire!H391*10)</f>
        <v>0</v>
      </c>
    </row>
    <row r="392">
      <c r="A392" s="8" t="str">
        <f>questionnaire!A392</f>
        <v/>
      </c>
      <c r="B392" s="9" t="str">
        <f>questionnaire!B392</f>
        <v/>
      </c>
      <c r="C392" s="9" t="str">
        <f>questionnaire!C392</f>
        <v/>
      </c>
      <c r="D392" s="9" t="str">
        <f>questionnaire!D392</f>
        <v/>
      </c>
      <c r="E392" s="9" t="str">
        <f>questionnaire!E392</f>
        <v/>
      </c>
      <c r="F392" s="9">
        <f>8-questionnaire!F392</f>
        <v>8</v>
      </c>
      <c r="G392" s="9">
        <f>8-questionnaire!G392</f>
        <v>8</v>
      </c>
      <c r="H392" s="9">
        <f>8-questionnaire!H392</f>
        <v>8</v>
      </c>
      <c r="I392" s="9">
        <f>C392*10+D392*5+E392*1.66-(questionnaire!F392*1.66+questionnaire!G392*5+questionnaire!H392*10)</f>
        <v>0</v>
      </c>
    </row>
    <row r="393">
      <c r="A393" s="8" t="str">
        <f>questionnaire!A393</f>
        <v/>
      </c>
      <c r="B393" s="9" t="str">
        <f>questionnaire!B393</f>
        <v/>
      </c>
      <c r="C393" s="9" t="str">
        <f>questionnaire!C393</f>
        <v/>
      </c>
      <c r="D393" s="9" t="str">
        <f>questionnaire!D393</f>
        <v/>
      </c>
      <c r="E393" s="9" t="str">
        <f>questionnaire!E393</f>
        <v/>
      </c>
      <c r="F393" s="9">
        <f>8-questionnaire!F393</f>
        <v>8</v>
      </c>
      <c r="G393" s="9">
        <f>8-questionnaire!G393</f>
        <v>8</v>
      </c>
      <c r="H393" s="9">
        <f>8-questionnaire!H393</f>
        <v>8</v>
      </c>
      <c r="I393" s="9">
        <f>C393*10+D393*5+E393*1.66-(questionnaire!F393*1.66+questionnaire!G393*5+questionnaire!H393*10)</f>
        <v>0</v>
      </c>
    </row>
    <row r="394">
      <c r="A394" s="8" t="str">
        <f>questionnaire!A394</f>
        <v/>
      </c>
      <c r="B394" s="9" t="str">
        <f>questionnaire!B394</f>
        <v/>
      </c>
      <c r="C394" s="9" t="str">
        <f>questionnaire!C394</f>
        <v/>
      </c>
      <c r="D394" s="9" t="str">
        <f>questionnaire!D394</f>
        <v/>
      </c>
      <c r="E394" s="9" t="str">
        <f>questionnaire!E394</f>
        <v/>
      </c>
      <c r="F394" s="9">
        <f>8-questionnaire!F394</f>
        <v>8</v>
      </c>
      <c r="G394" s="9">
        <f>8-questionnaire!G394</f>
        <v>8</v>
      </c>
      <c r="H394" s="9">
        <f>8-questionnaire!H394</f>
        <v>8</v>
      </c>
      <c r="I394" s="9">
        <f>C394*10+D394*5+E394*1.66-(questionnaire!F394*1.66+questionnaire!G394*5+questionnaire!H394*10)</f>
        <v>0</v>
      </c>
    </row>
    <row r="395">
      <c r="A395" s="8" t="str">
        <f>questionnaire!A395</f>
        <v/>
      </c>
      <c r="B395" s="9" t="str">
        <f>questionnaire!B395</f>
        <v/>
      </c>
      <c r="C395" s="9" t="str">
        <f>questionnaire!C395</f>
        <v/>
      </c>
      <c r="D395" s="9" t="str">
        <f>questionnaire!D395</f>
        <v/>
      </c>
      <c r="E395" s="9" t="str">
        <f>questionnaire!E395</f>
        <v/>
      </c>
      <c r="F395" s="9">
        <f>8-questionnaire!F395</f>
        <v>8</v>
      </c>
      <c r="G395" s="9">
        <f>8-questionnaire!G395</f>
        <v>8</v>
      </c>
      <c r="H395" s="9">
        <f>8-questionnaire!H395</f>
        <v>8</v>
      </c>
      <c r="I395" s="9">
        <f>C395*10+D395*5+E395*1.66-(questionnaire!F395*1.66+questionnaire!G395*5+questionnaire!H395*10)</f>
        <v>0</v>
      </c>
    </row>
    <row r="396">
      <c r="A396" s="8" t="str">
        <f>questionnaire!A396</f>
        <v/>
      </c>
      <c r="B396" s="9" t="str">
        <f>questionnaire!B396</f>
        <v/>
      </c>
      <c r="C396" s="9" t="str">
        <f>questionnaire!C396</f>
        <v/>
      </c>
      <c r="D396" s="9" t="str">
        <f>questionnaire!D396</f>
        <v/>
      </c>
      <c r="E396" s="9" t="str">
        <f>questionnaire!E396</f>
        <v/>
      </c>
      <c r="F396" s="9">
        <f>8-questionnaire!F396</f>
        <v>8</v>
      </c>
      <c r="G396" s="9">
        <f>8-questionnaire!G396</f>
        <v>8</v>
      </c>
      <c r="H396" s="9">
        <f>8-questionnaire!H396</f>
        <v>8</v>
      </c>
      <c r="I396" s="9">
        <f>C396*10+D396*5+E396*1.66-(questionnaire!F396*1.66+questionnaire!G396*5+questionnaire!H396*10)</f>
        <v>0</v>
      </c>
    </row>
    <row r="397">
      <c r="A397" s="8" t="str">
        <f>questionnaire!A397</f>
        <v/>
      </c>
      <c r="B397" s="9" t="str">
        <f>questionnaire!B397</f>
        <v/>
      </c>
      <c r="C397" s="9" t="str">
        <f>questionnaire!C397</f>
        <v/>
      </c>
      <c r="D397" s="9" t="str">
        <f>questionnaire!D397</f>
        <v/>
      </c>
      <c r="E397" s="9" t="str">
        <f>questionnaire!E397</f>
        <v/>
      </c>
      <c r="F397" s="9">
        <f>8-questionnaire!F397</f>
        <v>8</v>
      </c>
      <c r="G397" s="9">
        <f>8-questionnaire!G397</f>
        <v>8</v>
      </c>
      <c r="H397" s="9">
        <f>8-questionnaire!H397</f>
        <v>8</v>
      </c>
      <c r="I397" s="9">
        <f>C397*10+D397*5+E397*1.66-(questionnaire!F397*1.66+questionnaire!G397*5+questionnaire!H397*10)</f>
        <v>0</v>
      </c>
    </row>
    <row r="398">
      <c r="A398" s="8" t="str">
        <f>questionnaire!A398</f>
        <v/>
      </c>
      <c r="B398" s="9" t="str">
        <f>questionnaire!B398</f>
        <v/>
      </c>
      <c r="C398" s="9" t="str">
        <f>questionnaire!C398</f>
        <v/>
      </c>
      <c r="D398" s="9" t="str">
        <f>questionnaire!D398</f>
        <v/>
      </c>
      <c r="E398" s="9" t="str">
        <f>questionnaire!E398</f>
        <v/>
      </c>
      <c r="F398" s="9">
        <f>8-questionnaire!F398</f>
        <v>8</v>
      </c>
      <c r="G398" s="9">
        <f>8-questionnaire!G398</f>
        <v>8</v>
      </c>
      <c r="H398" s="9">
        <f>8-questionnaire!H398</f>
        <v>8</v>
      </c>
      <c r="I398" s="9">
        <f>C398*10+D398*5+E398*1.66-(questionnaire!F398*1.66+questionnaire!G398*5+questionnaire!H398*10)</f>
        <v>0</v>
      </c>
    </row>
    <row r="399">
      <c r="A399" s="8" t="str">
        <f>questionnaire!A399</f>
        <v/>
      </c>
      <c r="B399" s="9" t="str">
        <f>questionnaire!B399</f>
        <v/>
      </c>
      <c r="C399" s="9" t="str">
        <f>questionnaire!C399</f>
        <v/>
      </c>
      <c r="D399" s="9" t="str">
        <f>questionnaire!D399</f>
        <v/>
      </c>
      <c r="E399" s="9" t="str">
        <f>questionnaire!E399</f>
        <v/>
      </c>
      <c r="F399" s="9">
        <f>8-questionnaire!F399</f>
        <v>8</v>
      </c>
      <c r="G399" s="9">
        <f>8-questionnaire!G399</f>
        <v>8</v>
      </c>
      <c r="H399" s="9">
        <f>8-questionnaire!H399</f>
        <v>8</v>
      </c>
      <c r="I399" s="9">
        <f>C399*10+D399*5+E399*1.66-(questionnaire!F399*1.66+questionnaire!G399*5+questionnaire!H399*10)</f>
        <v>0</v>
      </c>
    </row>
    <row r="400">
      <c r="A400" s="8" t="str">
        <f>questionnaire!A400</f>
        <v/>
      </c>
      <c r="B400" s="9" t="str">
        <f>questionnaire!B400</f>
        <v/>
      </c>
      <c r="C400" s="9" t="str">
        <f>questionnaire!C400</f>
        <v/>
      </c>
      <c r="D400" s="9" t="str">
        <f>questionnaire!D400</f>
        <v/>
      </c>
      <c r="E400" s="9" t="str">
        <f>questionnaire!E400</f>
        <v/>
      </c>
      <c r="F400" s="9">
        <f>8-questionnaire!F400</f>
        <v>8</v>
      </c>
      <c r="G400" s="9">
        <f>8-questionnaire!G400</f>
        <v>8</v>
      </c>
      <c r="H400" s="9">
        <f>8-questionnaire!H400</f>
        <v>8</v>
      </c>
      <c r="I400" s="9">
        <f>C400*10+D400*5+E400*1.66-(questionnaire!F400*1.66+questionnaire!G400*5+questionnaire!H400*10)</f>
        <v>0</v>
      </c>
    </row>
    <row r="401">
      <c r="A401" s="8" t="str">
        <f>questionnaire!A401</f>
        <v/>
      </c>
      <c r="B401" s="9" t="str">
        <f>questionnaire!B401</f>
        <v/>
      </c>
      <c r="C401" s="9" t="str">
        <f>questionnaire!C401</f>
        <v/>
      </c>
      <c r="D401" s="9" t="str">
        <f>questionnaire!D401</f>
        <v/>
      </c>
      <c r="E401" s="9" t="str">
        <f>questionnaire!E401</f>
        <v/>
      </c>
      <c r="F401" s="9">
        <f>8-questionnaire!F401</f>
        <v>8</v>
      </c>
      <c r="G401" s="9">
        <f>8-questionnaire!G401</f>
        <v>8</v>
      </c>
      <c r="H401" s="9">
        <f>8-questionnaire!H401</f>
        <v>8</v>
      </c>
      <c r="I401" s="9">
        <f>C401*10+D401*5+E401*1.66-(questionnaire!F401*1.66+questionnaire!G401*5+questionnaire!H401*10)</f>
        <v>0</v>
      </c>
    </row>
    <row r="402">
      <c r="A402" s="8" t="str">
        <f>questionnaire!A402</f>
        <v/>
      </c>
      <c r="B402" s="9" t="str">
        <f>questionnaire!B402</f>
        <v/>
      </c>
      <c r="C402" s="9" t="str">
        <f>questionnaire!C402</f>
        <v/>
      </c>
      <c r="D402" s="9" t="str">
        <f>questionnaire!D402</f>
        <v/>
      </c>
      <c r="E402" s="9" t="str">
        <f>questionnaire!E402</f>
        <v/>
      </c>
      <c r="F402" s="9">
        <f>8-questionnaire!F402</f>
        <v>8</v>
      </c>
      <c r="G402" s="9">
        <f>8-questionnaire!G402</f>
        <v>8</v>
      </c>
      <c r="H402" s="9">
        <f>8-questionnaire!H402</f>
        <v>8</v>
      </c>
      <c r="I402" s="9">
        <f>C402*10+D402*5+E402*1.66-(questionnaire!F402*1.66+questionnaire!G402*5+questionnaire!H402*10)</f>
        <v>0</v>
      </c>
    </row>
    <row r="403">
      <c r="A403" s="8" t="str">
        <f>questionnaire!A403</f>
        <v/>
      </c>
      <c r="B403" s="9" t="str">
        <f>questionnaire!B403</f>
        <v/>
      </c>
      <c r="C403" s="9" t="str">
        <f>questionnaire!C403</f>
        <v/>
      </c>
      <c r="D403" s="9" t="str">
        <f>questionnaire!D403</f>
        <v/>
      </c>
      <c r="E403" s="9" t="str">
        <f>questionnaire!E403</f>
        <v/>
      </c>
      <c r="F403" s="9">
        <f>8-questionnaire!F403</f>
        <v>8</v>
      </c>
      <c r="G403" s="9">
        <f>8-questionnaire!G403</f>
        <v>8</v>
      </c>
      <c r="H403" s="9">
        <f>8-questionnaire!H403</f>
        <v>8</v>
      </c>
      <c r="I403" s="9">
        <f>C403*10+D403*5+E403*1.66-(questionnaire!F403*1.66+questionnaire!G403*5+questionnaire!H403*10)</f>
        <v>0</v>
      </c>
    </row>
    <row r="404">
      <c r="A404" s="8" t="str">
        <f>questionnaire!A404</f>
        <v/>
      </c>
      <c r="B404" s="9" t="str">
        <f>questionnaire!B404</f>
        <v/>
      </c>
      <c r="C404" s="9" t="str">
        <f>questionnaire!C404</f>
        <v/>
      </c>
      <c r="D404" s="9" t="str">
        <f>questionnaire!D404</f>
        <v/>
      </c>
      <c r="E404" s="9" t="str">
        <f>questionnaire!E404</f>
        <v/>
      </c>
      <c r="F404" s="9">
        <f>8-questionnaire!F404</f>
        <v>8</v>
      </c>
      <c r="G404" s="9">
        <f>8-questionnaire!G404</f>
        <v>8</v>
      </c>
      <c r="H404" s="9">
        <f>8-questionnaire!H404</f>
        <v>8</v>
      </c>
      <c r="I404" s="9">
        <f>C404*10+D404*5+E404*1.66-(questionnaire!F404*1.66+questionnaire!G404*5+questionnaire!H404*10)</f>
        <v>0</v>
      </c>
    </row>
    <row r="405">
      <c r="A405" s="8" t="str">
        <f>questionnaire!A405</f>
        <v/>
      </c>
      <c r="B405" s="9" t="str">
        <f>questionnaire!B405</f>
        <v/>
      </c>
      <c r="C405" s="9" t="str">
        <f>questionnaire!C405</f>
        <v/>
      </c>
      <c r="D405" s="9" t="str">
        <f>questionnaire!D405</f>
        <v/>
      </c>
      <c r="E405" s="9" t="str">
        <f>questionnaire!E405</f>
        <v/>
      </c>
      <c r="F405" s="9">
        <f>8-questionnaire!F405</f>
        <v>8</v>
      </c>
      <c r="G405" s="9">
        <f>8-questionnaire!G405</f>
        <v>8</v>
      </c>
      <c r="H405" s="9">
        <f>8-questionnaire!H405</f>
        <v>8</v>
      </c>
      <c r="I405" s="9">
        <f>C405*10+D405*5+E405*1.66-(questionnaire!F405*1.66+questionnaire!G405*5+questionnaire!H405*10)</f>
        <v>0</v>
      </c>
    </row>
    <row r="406">
      <c r="A406" s="8" t="str">
        <f>questionnaire!A406</f>
        <v/>
      </c>
      <c r="B406" s="9" t="str">
        <f>questionnaire!B406</f>
        <v/>
      </c>
      <c r="C406" s="9" t="str">
        <f>questionnaire!C406</f>
        <v/>
      </c>
      <c r="D406" s="9" t="str">
        <f>questionnaire!D406</f>
        <v/>
      </c>
      <c r="E406" s="9" t="str">
        <f>questionnaire!E406</f>
        <v/>
      </c>
      <c r="F406" s="9">
        <f>8-questionnaire!F406</f>
        <v>8</v>
      </c>
      <c r="G406" s="9">
        <f>8-questionnaire!G406</f>
        <v>8</v>
      </c>
      <c r="H406" s="9">
        <f>8-questionnaire!H406</f>
        <v>8</v>
      </c>
      <c r="I406" s="9">
        <f>C406*10+D406*5+E406*1.66-(questionnaire!F406*1.66+questionnaire!G406*5+questionnaire!H406*10)</f>
        <v>0</v>
      </c>
    </row>
    <row r="407">
      <c r="A407" s="8" t="str">
        <f>questionnaire!A407</f>
        <v/>
      </c>
      <c r="B407" s="9" t="str">
        <f>questionnaire!B407</f>
        <v/>
      </c>
      <c r="C407" s="9" t="str">
        <f>questionnaire!C407</f>
        <v/>
      </c>
      <c r="D407" s="9" t="str">
        <f>questionnaire!D407</f>
        <v/>
      </c>
      <c r="E407" s="9" t="str">
        <f>questionnaire!E407</f>
        <v/>
      </c>
      <c r="F407" s="9">
        <f>8-questionnaire!F407</f>
        <v>8</v>
      </c>
      <c r="G407" s="9">
        <f>8-questionnaire!G407</f>
        <v>8</v>
      </c>
      <c r="H407" s="9">
        <f>8-questionnaire!H407</f>
        <v>8</v>
      </c>
      <c r="I407" s="9">
        <f>C407*10+D407*5+E407*1.66-(questionnaire!F407*1.66+questionnaire!G407*5+questionnaire!H407*10)</f>
        <v>0</v>
      </c>
    </row>
    <row r="408">
      <c r="A408" s="8" t="str">
        <f>questionnaire!A408</f>
        <v/>
      </c>
      <c r="B408" s="9" t="str">
        <f>questionnaire!B408</f>
        <v/>
      </c>
      <c r="C408" s="9" t="str">
        <f>questionnaire!C408</f>
        <v/>
      </c>
      <c r="D408" s="9" t="str">
        <f>questionnaire!D408</f>
        <v/>
      </c>
      <c r="E408" s="9" t="str">
        <f>questionnaire!E408</f>
        <v/>
      </c>
      <c r="F408" s="9">
        <f>8-questionnaire!F408</f>
        <v>8</v>
      </c>
      <c r="G408" s="9">
        <f>8-questionnaire!G408</f>
        <v>8</v>
      </c>
      <c r="H408" s="9">
        <f>8-questionnaire!H408</f>
        <v>8</v>
      </c>
      <c r="I408" s="9">
        <f>C408*10+D408*5+E408*1.66-(questionnaire!F408*1.66+questionnaire!G408*5+questionnaire!H408*10)</f>
        <v>0</v>
      </c>
    </row>
    <row r="409">
      <c r="A409" s="8" t="str">
        <f>questionnaire!A409</f>
        <v/>
      </c>
      <c r="B409" s="9" t="str">
        <f>questionnaire!B409</f>
        <v/>
      </c>
      <c r="C409" s="9" t="str">
        <f>questionnaire!C409</f>
        <v/>
      </c>
      <c r="D409" s="9" t="str">
        <f>questionnaire!D409</f>
        <v/>
      </c>
      <c r="E409" s="9" t="str">
        <f>questionnaire!E409</f>
        <v/>
      </c>
      <c r="F409" s="9">
        <f>8-questionnaire!F409</f>
        <v>8</v>
      </c>
      <c r="G409" s="9">
        <f>8-questionnaire!G409</f>
        <v>8</v>
      </c>
      <c r="H409" s="9">
        <f>8-questionnaire!H409</f>
        <v>8</v>
      </c>
      <c r="I409" s="9">
        <f>C409*10+D409*5+E409*1.66-(questionnaire!F409*1.66+questionnaire!G409*5+questionnaire!H409*10)</f>
        <v>0</v>
      </c>
    </row>
    <row r="410">
      <c r="A410" s="8" t="str">
        <f>questionnaire!A410</f>
        <v/>
      </c>
      <c r="B410" s="9" t="str">
        <f>questionnaire!B410</f>
        <v/>
      </c>
      <c r="C410" s="9" t="str">
        <f>questionnaire!C410</f>
        <v/>
      </c>
      <c r="D410" s="9" t="str">
        <f>questionnaire!D410</f>
        <v/>
      </c>
      <c r="E410" s="9" t="str">
        <f>questionnaire!E410</f>
        <v/>
      </c>
      <c r="F410" s="9">
        <f>8-questionnaire!F410</f>
        <v>8</v>
      </c>
      <c r="G410" s="9">
        <f>8-questionnaire!G410</f>
        <v>8</v>
      </c>
      <c r="H410" s="9">
        <f>8-questionnaire!H410</f>
        <v>8</v>
      </c>
      <c r="I410" s="9">
        <f>C410*10+D410*5+E410*1.66-(questionnaire!F410*1.66+questionnaire!G410*5+questionnaire!H410*10)</f>
        <v>0</v>
      </c>
    </row>
    <row r="411">
      <c r="A411" s="8" t="str">
        <f>questionnaire!A411</f>
        <v/>
      </c>
      <c r="B411" s="9" t="str">
        <f>questionnaire!B411</f>
        <v/>
      </c>
      <c r="C411" s="9" t="str">
        <f>questionnaire!C411</f>
        <v/>
      </c>
      <c r="D411" s="9" t="str">
        <f>questionnaire!D411</f>
        <v/>
      </c>
      <c r="E411" s="9" t="str">
        <f>questionnaire!E411</f>
        <v/>
      </c>
      <c r="F411" s="9">
        <f>8-questionnaire!F411</f>
        <v>8</v>
      </c>
      <c r="G411" s="9">
        <f>8-questionnaire!G411</f>
        <v>8</v>
      </c>
      <c r="H411" s="9">
        <f>8-questionnaire!H411</f>
        <v>8</v>
      </c>
      <c r="I411" s="9">
        <f>C411*10+D411*5+E411*1.66-(questionnaire!F411*1.66+questionnaire!G411*5+questionnaire!H411*10)</f>
        <v>0</v>
      </c>
    </row>
    <row r="412">
      <c r="A412" s="8" t="str">
        <f>questionnaire!A412</f>
        <v/>
      </c>
      <c r="B412" s="9" t="str">
        <f>questionnaire!B412</f>
        <v/>
      </c>
      <c r="C412" s="9" t="str">
        <f>questionnaire!C412</f>
        <v/>
      </c>
      <c r="D412" s="9" t="str">
        <f>questionnaire!D412</f>
        <v/>
      </c>
      <c r="E412" s="9" t="str">
        <f>questionnaire!E412</f>
        <v/>
      </c>
      <c r="F412" s="9">
        <f>8-questionnaire!F412</f>
        <v>8</v>
      </c>
      <c r="G412" s="9">
        <f>8-questionnaire!G412</f>
        <v>8</v>
      </c>
      <c r="H412" s="9">
        <f>8-questionnaire!H412</f>
        <v>8</v>
      </c>
      <c r="I412" s="9">
        <f>C412*10+D412*5+E412*1.66-(questionnaire!F412*1.66+questionnaire!G412*5+questionnaire!H412*10)</f>
        <v>0</v>
      </c>
    </row>
    <row r="413">
      <c r="A413" s="8" t="str">
        <f>questionnaire!A413</f>
        <v/>
      </c>
      <c r="B413" s="9" t="str">
        <f>questionnaire!B413</f>
        <v/>
      </c>
      <c r="C413" s="9" t="str">
        <f>questionnaire!C413</f>
        <v/>
      </c>
      <c r="D413" s="9" t="str">
        <f>questionnaire!D413</f>
        <v/>
      </c>
      <c r="E413" s="9" t="str">
        <f>questionnaire!E413</f>
        <v/>
      </c>
      <c r="F413" s="9">
        <f>8-questionnaire!F413</f>
        <v>8</v>
      </c>
      <c r="G413" s="9">
        <f>8-questionnaire!G413</f>
        <v>8</v>
      </c>
      <c r="H413" s="9">
        <f>8-questionnaire!H413</f>
        <v>8</v>
      </c>
      <c r="I413" s="9">
        <f>C413*10+D413*5+E413*1.66-(questionnaire!F413*1.66+questionnaire!G413*5+questionnaire!H413*10)</f>
        <v>0</v>
      </c>
    </row>
    <row r="414">
      <c r="A414" s="8" t="str">
        <f>questionnaire!A414</f>
        <v/>
      </c>
      <c r="B414" s="9" t="str">
        <f>questionnaire!B414</f>
        <v/>
      </c>
      <c r="C414" s="9" t="str">
        <f>questionnaire!C414</f>
        <v/>
      </c>
      <c r="D414" s="9" t="str">
        <f>questionnaire!D414</f>
        <v/>
      </c>
      <c r="E414" s="9" t="str">
        <f>questionnaire!E414</f>
        <v/>
      </c>
      <c r="F414" s="9">
        <f>8-questionnaire!F414</f>
        <v>8</v>
      </c>
      <c r="G414" s="9">
        <f>8-questionnaire!G414</f>
        <v>8</v>
      </c>
      <c r="H414" s="9">
        <f>8-questionnaire!H414</f>
        <v>8</v>
      </c>
      <c r="I414" s="9">
        <f>C414*10+D414*5+E414*1.66-(questionnaire!F414*1.66+questionnaire!G414*5+questionnaire!H414*10)</f>
        <v>0</v>
      </c>
    </row>
    <row r="415">
      <c r="A415" s="8" t="str">
        <f>questionnaire!A415</f>
        <v/>
      </c>
      <c r="B415" s="9" t="str">
        <f>questionnaire!B415</f>
        <v/>
      </c>
      <c r="C415" s="9" t="str">
        <f>questionnaire!C415</f>
        <v/>
      </c>
      <c r="D415" s="9" t="str">
        <f>questionnaire!D415</f>
        <v/>
      </c>
      <c r="E415" s="9" t="str">
        <f>questionnaire!E415</f>
        <v/>
      </c>
      <c r="F415" s="9">
        <f>8-questionnaire!F415</f>
        <v>8</v>
      </c>
      <c r="G415" s="9">
        <f>8-questionnaire!G415</f>
        <v>8</v>
      </c>
      <c r="H415" s="9">
        <f>8-questionnaire!H415</f>
        <v>8</v>
      </c>
      <c r="I415" s="9">
        <f>C415*10+D415*5+E415*1.66-(questionnaire!F415*1.66+questionnaire!G415*5+questionnaire!H415*10)</f>
        <v>0</v>
      </c>
    </row>
    <row r="416">
      <c r="A416" s="8" t="str">
        <f>questionnaire!A416</f>
        <v/>
      </c>
      <c r="B416" s="9" t="str">
        <f>questionnaire!B416</f>
        <v/>
      </c>
      <c r="C416" s="9" t="str">
        <f>questionnaire!C416</f>
        <v/>
      </c>
      <c r="D416" s="9" t="str">
        <f>questionnaire!D416</f>
        <v/>
      </c>
      <c r="E416" s="9" t="str">
        <f>questionnaire!E416</f>
        <v/>
      </c>
      <c r="F416" s="9">
        <f>8-questionnaire!F416</f>
        <v>8</v>
      </c>
      <c r="G416" s="9">
        <f>8-questionnaire!G416</f>
        <v>8</v>
      </c>
      <c r="H416" s="9">
        <f>8-questionnaire!H416</f>
        <v>8</v>
      </c>
      <c r="I416" s="9">
        <f>C416*10+D416*5+E416*1.66-(questionnaire!F416*1.66+questionnaire!G416*5+questionnaire!H416*10)</f>
        <v>0</v>
      </c>
    </row>
    <row r="417">
      <c r="A417" s="8" t="str">
        <f>questionnaire!A417</f>
        <v/>
      </c>
      <c r="B417" s="9" t="str">
        <f>questionnaire!B417</f>
        <v/>
      </c>
      <c r="C417" s="9" t="str">
        <f>questionnaire!C417</f>
        <v/>
      </c>
      <c r="D417" s="9" t="str">
        <f>questionnaire!D417</f>
        <v/>
      </c>
      <c r="E417" s="9" t="str">
        <f>questionnaire!E417</f>
        <v/>
      </c>
      <c r="F417" s="9">
        <f>8-questionnaire!F417</f>
        <v>8</v>
      </c>
      <c r="G417" s="9">
        <f>8-questionnaire!G417</f>
        <v>8</v>
      </c>
      <c r="H417" s="9">
        <f>8-questionnaire!H417</f>
        <v>8</v>
      </c>
      <c r="I417" s="9">
        <f>C417*10+D417*5+E417*1.66-(questionnaire!F417*1.66+questionnaire!G417*5+questionnaire!H417*10)</f>
        <v>0</v>
      </c>
    </row>
    <row r="418">
      <c r="A418" s="8" t="str">
        <f>questionnaire!A418</f>
        <v/>
      </c>
      <c r="B418" s="9" t="str">
        <f>questionnaire!B418</f>
        <v/>
      </c>
      <c r="C418" s="9" t="str">
        <f>questionnaire!C418</f>
        <v/>
      </c>
      <c r="D418" s="9" t="str">
        <f>questionnaire!D418</f>
        <v/>
      </c>
      <c r="E418" s="9" t="str">
        <f>questionnaire!E418</f>
        <v/>
      </c>
      <c r="F418" s="9">
        <f>8-questionnaire!F418</f>
        <v>8</v>
      </c>
      <c r="G418" s="9">
        <f>8-questionnaire!G418</f>
        <v>8</v>
      </c>
      <c r="H418" s="9">
        <f>8-questionnaire!H418</f>
        <v>8</v>
      </c>
      <c r="I418" s="9">
        <f>C418*10+D418*5+E418*1.66-(questionnaire!F418*1.66+questionnaire!G418*5+questionnaire!H418*10)</f>
        <v>0</v>
      </c>
    </row>
    <row r="419">
      <c r="A419" s="8" t="str">
        <f>questionnaire!A419</f>
        <v/>
      </c>
      <c r="B419" s="9" t="str">
        <f>questionnaire!B419</f>
        <v/>
      </c>
      <c r="C419" s="9" t="str">
        <f>questionnaire!C419</f>
        <v/>
      </c>
      <c r="D419" s="9" t="str">
        <f>questionnaire!D419</f>
        <v/>
      </c>
      <c r="E419" s="9" t="str">
        <f>questionnaire!E419</f>
        <v/>
      </c>
      <c r="F419" s="9">
        <f>8-questionnaire!F419</f>
        <v>8</v>
      </c>
      <c r="G419" s="9">
        <f>8-questionnaire!G419</f>
        <v>8</v>
      </c>
      <c r="H419" s="9">
        <f>8-questionnaire!H419</f>
        <v>8</v>
      </c>
      <c r="I419" s="9">
        <f>C419*10+D419*5+E419*1.66-(questionnaire!F419*1.66+questionnaire!G419*5+questionnaire!H419*10)</f>
        <v>0</v>
      </c>
    </row>
    <row r="420">
      <c r="A420" s="8" t="str">
        <f>questionnaire!A420</f>
        <v/>
      </c>
      <c r="B420" s="9" t="str">
        <f>questionnaire!B420</f>
        <v/>
      </c>
      <c r="C420" s="9" t="str">
        <f>questionnaire!C420</f>
        <v/>
      </c>
      <c r="D420" s="9" t="str">
        <f>questionnaire!D420</f>
        <v/>
      </c>
      <c r="E420" s="9" t="str">
        <f>questionnaire!E420</f>
        <v/>
      </c>
      <c r="F420" s="9">
        <f>8-questionnaire!F420</f>
        <v>8</v>
      </c>
      <c r="G420" s="9">
        <f>8-questionnaire!G420</f>
        <v>8</v>
      </c>
      <c r="H420" s="9">
        <f>8-questionnaire!H420</f>
        <v>8</v>
      </c>
      <c r="I420" s="9">
        <f>C420*10+D420*5+E420*1.66-(questionnaire!F420*1.66+questionnaire!G420*5+questionnaire!H420*10)</f>
        <v>0</v>
      </c>
    </row>
    <row r="421">
      <c r="A421" s="8" t="str">
        <f>questionnaire!A421</f>
        <v/>
      </c>
      <c r="B421" s="9" t="str">
        <f>questionnaire!B421</f>
        <v/>
      </c>
      <c r="C421" s="9" t="str">
        <f>questionnaire!C421</f>
        <v/>
      </c>
      <c r="D421" s="9" t="str">
        <f>questionnaire!D421</f>
        <v/>
      </c>
      <c r="E421" s="9" t="str">
        <f>questionnaire!E421</f>
        <v/>
      </c>
      <c r="F421" s="9">
        <f>8-questionnaire!F421</f>
        <v>8</v>
      </c>
      <c r="G421" s="9">
        <f>8-questionnaire!G421</f>
        <v>8</v>
      </c>
      <c r="H421" s="9">
        <f>8-questionnaire!H421</f>
        <v>8</v>
      </c>
      <c r="I421" s="9">
        <f>C421*10+D421*5+E421*1.66-(questionnaire!F421*1.66+questionnaire!G421*5+questionnaire!H421*10)</f>
        <v>0</v>
      </c>
    </row>
    <row r="422">
      <c r="A422" s="8" t="str">
        <f>questionnaire!A422</f>
        <v/>
      </c>
      <c r="B422" s="9" t="str">
        <f>questionnaire!B422</f>
        <v/>
      </c>
      <c r="C422" s="9" t="str">
        <f>questionnaire!C422</f>
        <v/>
      </c>
      <c r="D422" s="9" t="str">
        <f>questionnaire!D422</f>
        <v/>
      </c>
      <c r="E422" s="9" t="str">
        <f>questionnaire!E422</f>
        <v/>
      </c>
      <c r="F422" s="9">
        <f>8-questionnaire!F422</f>
        <v>8</v>
      </c>
      <c r="G422" s="9">
        <f>8-questionnaire!G422</f>
        <v>8</v>
      </c>
      <c r="H422" s="9">
        <f>8-questionnaire!H422</f>
        <v>8</v>
      </c>
      <c r="I422" s="9">
        <f>C422*10+D422*5+E422*1.66-(questionnaire!F422*1.66+questionnaire!G422*5+questionnaire!H422*10)</f>
        <v>0</v>
      </c>
    </row>
    <row r="423">
      <c r="A423" s="8" t="str">
        <f>questionnaire!A423</f>
        <v/>
      </c>
      <c r="B423" s="9" t="str">
        <f>questionnaire!B423</f>
        <v/>
      </c>
      <c r="C423" s="9" t="str">
        <f>questionnaire!C423</f>
        <v/>
      </c>
      <c r="D423" s="9" t="str">
        <f>questionnaire!D423</f>
        <v/>
      </c>
      <c r="E423" s="9" t="str">
        <f>questionnaire!E423</f>
        <v/>
      </c>
      <c r="F423" s="9">
        <f>8-questionnaire!F423</f>
        <v>8</v>
      </c>
      <c r="G423" s="9">
        <f>8-questionnaire!G423</f>
        <v>8</v>
      </c>
      <c r="H423" s="9">
        <f>8-questionnaire!H423</f>
        <v>8</v>
      </c>
      <c r="I423" s="9">
        <f>C423*10+D423*5+E423*1.66-(questionnaire!F423*1.66+questionnaire!G423*5+questionnaire!H423*10)</f>
        <v>0</v>
      </c>
    </row>
    <row r="424">
      <c r="A424" s="8" t="str">
        <f>questionnaire!A424</f>
        <v/>
      </c>
      <c r="B424" s="9" t="str">
        <f>questionnaire!B424</f>
        <v/>
      </c>
      <c r="C424" s="9" t="str">
        <f>questionnaire!C424</f>
        <v/>
      </c>
      <c r="D424" s="9" t="str">
        <f>questionnaire!D424</f>
        <v/>
      </c>
      <c r="E424" s="9" t="str">
        <f>questionnaire!E424</f>
        <v/>
      </c>
      <c r="F424" s="9">
        <f>8-questionnaire!F424</f>
        <v>8</v>
      </c>
      <c r="G424" s="9">
        <f>8-questionnaire!G424</f>
        <v>8</v>
      </c>
      <c r="H424" s="9">
        <f>8-questionnaire!H424</f>
        <v>8</v>
      </c>
      <c r="I424" s="9">
        <f>C424*10+D424*5+E424*1.66-(questionnaire!F424*1.66+questionnaire!G424*5+questionnaire!H424*10)</f>
        <v>0</v>
      </c>
    </row>
    <row r="425">
      <c r="A425" s="8" t="str">
        <f>questionnaire!A425</f>
        <v/>
      </c>
      <c r="B425" s="9" t="str">
        <f>questionnaire!B425</f>
        <v/>
      </c>
      <c r="C425" s="9" t="str">
        <f>questionnaire!C425</f>
        <v/>
      </c>
      <c r="D425" s="9" t="str">
        <f>questionnaire!D425</f>
        <v/>
      </c>
      <c r="E425" s="9" t="str">
        <f>questionnaire!E425</f>
        <v/>
      </c>
      <c r="F425" s="9">
        <f>8-questionnaire!F425</f>
        <v>8</v>
      </c>
      <c r="G425" s="9">
        <f>8-questionnaire!G425</f>
        <v>8</v>
      </c>
      <c r="H425" s="9">
        <f>8-questionnaire!H425</f>
        <v>8</v>
      </c>
      <c r="I425" s="9">
        <f>C425*10+D425*5+E425*1.66-(questionnaire!F425*1.66+questionnaire!G425*5+questionnaire!H425*10)</f>
        <v>0</v>
      </c>
    </row>
    <row r="426">
      <c r="A426" s="8" t="str">
        <f>questionnaire!A426</f>
        <v/>
      </c>
      <c r="B426" s="9" t="str">
        <f>questionnaire!B426</f>
        <v/>
      </c>
      <c r="C426" s="9" t="str">
        <f>questionnaire!C426</f>
        <v/>
      </c>
      <c r="D426" s="9" t="str">
        <f>questionnaire!D426</f>
        <v/>
      </c>
      <c r="E426" s="9" t="str">
        <f>questionnaire!E426</f>
        <v/>
      </c>
      <c r="F426" s="9">
        <f>8-questionnaire!F426</f>
        <v>8</v>
      </c>
      <c r="G426" s="9">
        <f>8-questionnaire!G426</f>
        <v>8</v>
      </c>
      <c r="H426" s="9">
        <f>8-questionnaire!H426</f>
        <v>8</v>
      </c>
      <c r="I426" s="9">
        <f>C426*10+D426*5+E426*1.66-(questionnaire!F426*1.66+questionnaire!G426*5+questionnaire!H426*10)</f>
        <v>0</v>
      </c>
    </row>
    <row r="427">
      <c r="A427" s="8" t="str">
        <f>questionnaire!A427</f>
        <v/>
      </c>
      <c r="B427" s="9" t="str">
        <f>questionnaire!B427</f>
        <v/>
      </c>
      <c r="C427" s="9" t="str">
        <f>questionnaire!C427</f>
        <v/>
      </c>
      <c r="D427" s="9" t="str">
        <f>questionnaire!D427</f>
        <v/>
      </c>
      <c r="E427" s="9" t="str">
        <f>questionnaire!E427</f>
        <v/>
      </c>
      <c r="F427" s="9">
        <f>8-questionnaire!F427</f>
        <v>8</v>
      </c>
      <c r="G427" s="9">
        <f>8-questionnaire!G427</f>
        <v>8</v>
      </c>
      <c r="H427" s="9">
        <f>8-questionnaire!H427</f>
        <v>8</v>
      </c>
      <c r="I427" s="9">
        <f>C427*10+D427*5+E427*1.66-(questionnaire!F427*1.66+questionnaire!G427*5+questionnaire!H427*10)</f>
        <v>0</v>
      </c>
    </row>
    <row r="428">
      <c r="A428" s="8" t="str">
        <f>questionnaire!A428</f>
        <v/>
      </c>
      <c r="B428" s="9" t="str">
        <f>questionnaire!B428</f>
        <v/>
      </c>
      <c r="C428" s="9" t="str">
        <f>questionnaire!C428</f>
        <v/>
      </c>
      <c r="D428" s="9" t="str">
        <f>questionnaire!D428</f>
        <v/>
      </c>
      <c r="E428" s="9" t="str">
        <f>questionnaire!E428</f>
        <v/>
      </c>
      <c r="F428" s="9">
        <f>8-questionnaire!F428</f>
        <v>8</v>
      </c>
      <c r="G428" s="9">
        <f>8-questionnaire!G428</f>
        <v>8</v>
      </c>
      <c r="H428" s="9">
        <f>8-questionnaire!H428</f>
        <v>8</v>
      </c>
      <c r="I428" s="9">
        <f>C428*10+D428*5+E428*1.66-(questionnaire!F428*1.66+questionnaire!G428*5+questionnaire!H428*10)</f>
        <v>0</v>
      </c>
    </row>
    <row r="429">
      <c r="A429" s="8" t="str">
        <f>questionnaire!A429</f>
        <v/>
      </c>
      <c r="B429" s="9" t="str">
        <f>questionnaire!B429</f>
        <v/>
      </c>
      <c r="C429" s="9" t="str">
        <f>questionnaire!C429</f>
        <v/>
      </c>
      <c r="D429" s="9" t="str">
        <f>questionnaire!D429</f>
        <v/>
      </c>
      <c r="E429" s="9" t="str">
        <f>questionnaire!E429</f>
        <v/>
      </c>
      <c r="F429" s="9">
        <f>8-questionnaire!F429</f>
        <v>8</v>
      </c>
      <c r="G429" s="9">
        <f>8-questionnaire!G429</f>
        <v>8</v>
      </c>
      <c r="H429" s="9">
        <f>8-questionnaire!H429</f>
        <v>8</v>
      </c>
      <c r="I429" s="9">
        <f>C429*10+D429*5+E429*1.66-(questionnaire!F429*1.66+questionnaire!G429*5+questionnaire!H429*10)</f>
        <v>0</v>
      </c>
    </row>
    <row r="430">
      <c r="A430" s="8" t="str">
        <f>questionnaire!A430</f>
        <v/>
      </c>
      <c r="B430" s="9" t="str">
        <f>questionnaire!B430</f>
        <v/>
      </c>
      <c r="C430" s="9" t="str">
        <f>questionnaire!C430</f>
        <v/>
      </c>
      <c r="D430" s="9" t="str">
        <f>questionnaire!D430</f>
        <v/>
      </c>
      <c r="E430" s="9" t="str">
        <f>questionnaire!E430</f>
        <v/>
      </c>
      <c r="F430" s="9">
        <f>8-questionnaire!F430</f>
        <v>8</v>
      </c>
      <c r="G430" s="9">
        <f>8-questionnaire!G430</f>
        <v>8</v>
      </c>
      <c r="H430" s="9">
        <f>8-questionnaire!H430</f>
        <v>8</v>
      </c>
      <c r="I430" s="9">
        <f>C430*10+D430*5+E430*1.66-(questionnaire!F430*1.66+questionnaire!G430*5+questionnaire!H430*10)</f>
        <v>0</v>
      </c>
    </row>
    <row r="431">
      <c r="A431" s="8" t="str">
        <f>questionnaire!A431</f>
        <v/>
      </c>
      <c r="B431" s="9" t="str">
        <f>questionnaire!B431</f>
        <v/>
      </c>
      <c r="C431" s="9" t="str">
        <f>questionnaire!C431</f>
        <v/>
      </c>
      <c r="D431" s="9" t="str">
        <f>questionnaire!D431</f>
        <v/>
      </c>
      <c r="E431" s="9" t="str">
        <f>questionnaire!E431</f>
        <v/>
      </c>
      <c r="F431" s="9">
        <f>8-questionnaire!F431</f>
        <v>8</v>
      </c>
      <c r="G431" s="9">
        <f>8-questionnaire!G431</f>
        <v>8</v>
      </c>
      <c r="H431" s="9">
        <f>8-questionnaire!H431</f>
        <v>8</v>
      </c>
      <c r="I431" s="9">
        <f>C431*10+D431*5+E431*1.66-(questionnaire!F431*1.66+questionnaire!G431*5+questionnaire!H431*10)</f>
        <v>0</v>
      </c>
    </row>
    <row r="432">
      <c r="A432" s="8" t="str">
        <f>questionnaire!A432</f>
        <v/>
      </c>
      <c r="B432" s="9" t="str">
        <f>questionnaire!B432</f>
        <v/>
      </c>
      <c r="C432" s="9" t="str">
        <f>questionnaire!C432</f>
        <v/>
      </c>
      <c r="D432" s="9" t="str">
        <f>questionnaire!D432</f>
        <v/>
      </c>
      <c r="E432" s="9" t="str">
        <f>questionnaire!E432</f>
        <v/>
      </c>
      <c r="F432" s="9">
        <f>8-questionnaire!F432</f>
        <v>8</v>
      </c>
      <c r="G432" s="9">
        <f>8-questionnaire!G432</f>
        <v>8</v>
      </c>
      <c r="H432" s="9">
        <f>8-questionnaire!H432</f>
        <v>8</v>
      </c>
      <c r="I432" s="9">
        <f>C432*10+D432*5+E432*1.66-(questionnaire!F432*1.66+questionnaire!G432*5+questionnaire!H432*10)</f>
        <v>0</v>
      </c>
    </row>
    <row r="433">
      <c r="A433" s="8" t="str">
        <f>questionnaire!A433</f>
        <v/>
      </c>
      <c r="B433" s="9" t="str">
        <f>questionnaire!B433</f>
        <v/>
      </c>
      <c r="C433" s="9" t="str">
        <f>questionnaire!C433</f>
        <v/>
      </c>
      <c r="D433" s="9" t="str">
        <f>questionnaire!D433</f>
        <v/>
      </c>
      <c r="E433" s="9" t="str">
        <f>questionnaire!E433</f>
        <v/>
      </c>
      <c r="F433" s="9">
        <f>8-questionnaire!F433</f>
        <v>8</v>
      </c>
      <c r="G433" s="9">
        <f>8-questionnaire!G433</f>
        <v>8</v>
      </c>
      <c r="H433" s="9">
        <f>8-questionnaire!H433</f>
        <v>8</v>
      </c>
      <c r="I433" s="9">
        <f>C433*10+D433*5+E433*1.66-(questionnaire!F433*1.66+questionnaire!G433*5+questionnaire!H433*10)</f>
        <v>0</v>
      </c>
    </row>
    <row r="434">
      <c r="A434" s="8" t="str">
        <f>questionnaire!A434</f>
        <v/>
      </c>
      <c r="B434" s="9" t="str">
        <f>questionnaire!B434</f>
        <v/>
      </c>
      <c r="C434" s="9" t="str">
        <f>questionnaire!C434</f>
        <v/>
      </c>
      <c r="D434" s="9" t="str">
        <f>questionnaire!D434</f>
        <v/>
      </c>
      <c r="E434" s="9" t="str">
        <f>questionnaire!E434</f>
        <v/>
      </c>
      <c r="F434" s="9">
        <f>8-questionnaire!F434</f>
        <v>8</v>
      </c>
      <c r="G434" s="9">
        <f>8-questionnaire!G434</f>
        <v>8</v>
      </c>
      <c r="H434" s="9">
        <f>8-questionnaire!H434</f>
        <v>8</v>
      </c>
      <c r="I434" s="9">
        <f>C434*10+D434*5+E434*1.66-(questionnaire!F434*1.66+questionnaire!G434*5+questionnaire!H434*10)</f>
        <v>0</v>
      </c>
    </row>
    <row r="435">
      <c r="A435" s="8" t="str">
        <f>questionnaire!A435</f>
        <v/>
      </c>
      <c r="B435" s="9" t="str">
        <f>questionnaire!B435</f>
        <v/>
      </c>
      <c r="C435" s="9" t="str">
        <f>questionnaire!C435</f>
        <v/>
      </c>
      <c r="D435" s="9" t="str">
        <f>questionnaire!D435</f>
        <v/>
      </c>
      <c r="E435" s="9" t="str">
        <f>questionnaire!E435</f>
        <v/>
      </c>
      <c r="F435" s="9">
        <f>8-questionnaire!F435</f>
        <v>8</v>
      </c>
      <c r="G435" s="9">
        <f>8-questionnaire!G435</f>
        <v>8</v>
      </c>
      <c r="H435" s="9">
        <f>8-questionnaire!H435</f>
        <v>8</v>
      </c>
      <c r="I435" s="9">
        <f>C435*10+D435*5+E435*1.66-(questionnaire!F435*1.66+questionnaire!G435*5+questionnaire!H435*10)</f>
        <v>0</v>
      </c>
    </row>
    <row r="436">
      <c r="A436" s="8" t="str">
        <f>questionnaire!A436</f>
        <v/>
      </c>
      <c r="B436" s="9" t="str">
        <f>questionnaire!B436</f>
        <v/>
      </c>
      <c r="C436" s="9" t="str">
        <f>questionnaire!C436</f>
        <v/>
      </c>
      <c r="D436" s="9" t="str">
        <f>questionnaire!D436</f>
        <v/>
      </c>
      <c r="E436" s="9" t="str">
        <f>questionnaire!E436</f>
        <v/>
      </c>
      <c r="F436" s="9">
        <f>8-questionnaire!F436</f>
        <v>8</v>
      </c>
      <c r="G436" s="9">
        <f>8-questionnaire!G436</f>
        <v>8</v>
      </c>
      <c r="H436" s="9">
        <f>8-questionnaire!H436</f>
        <v>8</v>
      </c>
      <c r="I436" s="9">
        <f>C436*10+D436*5+E436*1.66-(questionnaire!F436*1.66+questionnaire!G436*5+questionnaire!H436*10)</f>
        <v>0</v>
      </c>
    </row>
    <row r="437">
      <c r="A437" s="8" t="str">
        <f>questionnaire!A437</f>
        <v/>
      </c>
      <c r="B437" s="9" t="str">
        <f>questionnaire!B437</f>
        <v/>
      </c>
      <c r="C437" s="9" t="str">
        <f>questionnaire!C437</f>
        <v/>
      </c>
      <c r="D437" s="9" t="str">
        <f>questionnaire!D437</f>
        <v/>
      </c>
      <c r="E437" s="9" t="str">
        <f>questionnaire!E437</f>
        <v/>
      </c>
      <c r="F437" s="9">
        <f>8-questionnaire!F437</f>
        <v>8</v>
      </c>
      <c r="G437" s="9">
        <f>8-questionnaire!G437</f>
        <v>8</v>
      </c>
      <c r="H437" s="9">
        <f>8-questionnaire!H437</f>
        <v>8</v>
      </c>
      <c r="I437" s="9">
        <f>C437*10+D437*5+E437*1.66-(questionnaire!F437*1.66+questionnaire!G437*5+questionnaire!H437*10)</f>
        <v>0</v>
      </c>
    </row>
    <row r="438">
      <c r="A438" s="8" t="str">
        <f>questionnaire!A438</f>
        <v/>
      </c>
      <c r="B438" s="9" t="str">
        <f>questionnaire!B438</f>
        <v/>
      </c>
      <c r="C438" s="9" t="str">
        <f>questionnaire!C438</f>
        <v/>
      </c>
      <c r="D438" s="9" t="str">
        <f>questionnaire!D438</f>
        <v/>
      </c>
      <c r="E438" s="9" t="str">
        <f>questionnaire!E438</f>
        <v/>
      </c>
      <c r="F438" s="9">
        <f>8-questionnaire!F438</f>
        <v>8</v>
      </c>
      <c r="G438" s="9">
        <f>8-questionnaire!G438</f>
        <v>8</v>
      </c>
      <c r="H438" s="9">
        <f>8-questionnaire!H438</f>
        <v>8</v>
      </c>
      <c r="I438" s="9">
        <f>C438*10+D438*5+E438*1.66-(questionnaire!F438*1.66+questionnaire!G438*5+questionnaire!H438*10)</f>
        <v>0</v>
      </c>
    </row>
    <row r="439">
      <c r="A439" s="8" t="str">
        <f>questionnaire!A439</f>
        <v/>
      </c>
      <c r="B439" s="9" t="str">
        <f>questionnaire!B439</f>
        <v/>
      </c>
      <c r="C439" s="9" t="str">
        <f>questionnaire!C439</f>
        <v/>
      </c>
      <c r="D439" s="9" t="str">
        <f>questionnaire!D439</f>
        <v/>
      </c>
      <c r="E439" s="9" t="str">
        <f>questionnaire!E439</f>
        <v/>
      </c>
      <c r="F439" s="9">
        <f>8-questionnaire!F439</f>
        <v>8</v>
      </c>
      <c r="G439" s="9">
        <f>8-questionnaire!G439</f>
        <v>8</v>
      </c>
      <c r="H439" s="9">
        <f>8-questionnaire!H439</f>
        <v>8</v>
      </c>
      <c r="I439" s="9">
        <f>C439*10+D439*5+E439*1.66-(questionnaire!F439*1.66+questionnaire!G439*5+questionnaire!H439*10)</f>
        <v>0</v>
      </c>
    </row>
    <row r="440">
      <c r="A440" s="8" t="str">
        <f>questionnaire!A440</f>
        <v/>
      </c>
      <c r="B440" s="9" t="str">
        <f>questionnaire!B440</f>
        <v/>
      </c>
      <c r="C440" s="9" t="str">
        <f>questionnaire!C440</f>
        <v/>
      </c>
      <c r="D440" s="9" t="str">
        <f>questionnaire!D440</f>
        <v/>
      </c>
      <c r="E440" s="9" t="str">
        <f>questionnaire!E440</f>
        <v/>
      </c>
      <c r="F440" s="9">
        <f>8-questionnaire!F440</f>
        <v>8</v>
      </c>
      <c r="G440" s="9">
        <f>8-questionnaire!G440</f>
        <v>8</v>
      </c>
      <c r="H440" s="9">
        <f>8-questionnaire!H440</f>
        <v>8</v>
      </c>
      <c r="I440" s="9">
        <f>C440*10+D440*5+E440*1.66-(questionnaire!F440*1.66+questionnaire!G440*5+questionnaire!H440*10)</f>
        <v>0</v>
      </c>
    </row>
    <row r="441">
      <c r="A441" s="8" t="str">
        <f>questionnaire!A441</f>
        <v/>
      </c>
      <c r="B441" s="9" t="str">
        <f>questionnaire!B441</f>
        <v/>
      </c>
      <c r="C441" s="9" t="str">
        <f>questionnaire!C441</f>
        <v/>
      </c>
      <c r="D441" s="9" t="str">
        <f>questionnaire!D441</f>
        <v/>
      </c>
      <c r="E441" s="9" t="str">
        <f>questionnaire!E441</f>
        <v/>
      </c>
      <c r="F441" s="9">
        <f>8-questionnaire!F441</f>
        <v>8</v>
      </c>
      <c r="G441" s="9">
        <f>8-questionnaire!G441</f>
        <v>8</v>
      </c>
      <c r="H441" s="9">
        <f>8-questionnaire!H441</f>
        <v>8</v>
      </c>
      <c r="I441" s="9">
        <f>C441*10+D441*5+E441*1.66-(questionnaire!F441*1.66+questionnaire!G441*5+questionnaire!H441*10)</f>
        <v>0</v>
      </c>
    </row>
    <row r="442">
      <c r="A442" s="8" t="str">
        <f>questionnaire!A442</f>
        <v/>
      </c>
      <c r="B442" s="9" t="str">
        <f>questionnaire!B442</f>
        <v/>
      </c>
      <c r="C442" s="9" t="str">
        <f>questionnaire!C442</f>
        <v/>
      </c>
      <c r="D442" s="9" t="str">
        <f>questionnaire!D442</f>
        <v/>
      </c>
      <c r="E442" s="9" t="str">
        <f>questionnaire!E442</f>
        <v/>
      </c>
      <c r="F442" s="9">
        <f>8-questionnaire!F442</f>
        <v>8</v>
      </c>
      <c r="G442" s="9">
        <f>8-questionnaire!G442</f>
        <v>8</v>
      </c>
      <c r="H442" s="9">
        <f>8-questionnaire!H442</f>
        <v>8</v>
      </c>
      <c r="I442" s="9">
        <f>C442*10+D442*5+E442*1.66-(questionnaire!F442*1.66+questionnaire!G442*5+questionnaire!H442*10)</f>
        <v>0</v>
      </c>
    </row>
    <row r="443">
      <c r="A443" s="8" t="str">
        <f>questionnaire!A443</f>
        <v/>
      </c>
      <c r="B443" s="9" t="str">
        <f>questionnaire!B443</f>
        <v/>
      </c>
      <c r="C443" s="9" t="str">
        <f>questionnaire!C443</f>
        <v/>
      </c>
      <c r="D443" s="9" t="str">
        <f>questionnaire!D443</f>
        <v/>
      </c>
      <c r="E443" s="9" t="str">
        <f>questionnaire!E443</f>
        <v/>
      </c>
      <c r="F443" s="9">
        <f>8-questionnaire!F443</f>
        <v>8</v>
      </c>
      <c r="G443" s="9">
        <f>8-questionnaire!G443</f>
        <v>8</v>
      </c>
      <c r="H443" s="9">
        <f>8-questionnaire!H443</f>
        <v>8</v>
      </c>
      <c r="I443" s="9">
        <f>C443*10+D443*5+E443*1.66-(questionnaire!F443*1.66+questionnaire!G443*5+questionnaire!H443*10)</f>
        <v>0</v>
      </c>
    </row>
    <row r="444">
      <c r="A444" s="8" t="str">
        <f>questionnaire!A444</f>
        <v/>
      </c>
      <c r="B444" s="9" t="str">
        <f>questionnaire!B444</f>
        <v/>
      </c>
      <c r="C444" s="9" t="str">
        <f>questionnaire!C444</f>
        <v/>
      </c>
      <c r="D444" s="9" t="str">
        <f>questionnaire!D444</f>
        <v/>
      </c>
      <c r="E444" s="9" t="str">
        <f>questionnaire!E444</f>
        <v/>
      </c>
      <c r="F444" s="9">
        <f>8-questionnaire!F444</f>
        <v>8</v>
      </c>
      <c r="G444" s="9">
        <f>8-questionnaire!G444</f>
        <v>8</v>
      </c>
      <c r="H444" s="9">
        <f>8-questionnaire!H444</f>
        <v>8</v>
      </c>
      <c r="I444" s="9">
        <f>C444*10+D444*5+E444*1.66-(questionnaire!F444*1.66+questionnaire!G444*5+questionnaire!H444*10)</f>
        <v>0</v>
      </c>
    </row>
    <row r="445">
      <c r="A445" s="8" t="str">
        <f>questionnaire!A445</f>
        <v/>
      </c>
      <c r="B445" s="9" t="str">
        <f>questionnaire!B445</f>
        <v/>
      </c>
      <c r="C445" s="9" t="str">
        <f>questionnaire!C445</f>
        <v/>
      </c>
      <c r="D445" s="9" t="str">
        <f>questionnaire!D445</f>
        <v/>
      </c>
      <c r="E445" s="9" t="str">
        <f>questionnaire!E445</f>
        <v/>
      </c>
      <c r="F445" s="9">
        <f>8-questionnaire!F445</f>
        <v>8</v>
      </c>
      <c r="G445" s="9">
        <f>8-questionnaire!G445</f>
        <v>8</v>
      </c>
      <c r="H445" s="9">
        <f>8-questionnaire!H445</f>
        <v>8</v>
      </c>
      <c r="I445" s="9">
        <f>C445*10+D445*5+E445*1.66-(questionnaire!F445*1.66+questionnaire!G445*5+questionnaire!H445*10)</f>
        <v>0</v>
      </c>
    </row>
    <row r="446">
      <c r="A446" s="8" t="str">
        <f>questionnaire!A446</f>
        <v/>
      </c>
      <c r="B446" s="9" t="str">
        <f>questionnaire!B446</f>
        <v/>
      </c>
      <c r="C446" s="9" t="str">
        <f>questionnaire!C446</f>
        <v/>
      </c>
      <c r="D446" s="9" t="str">
        <f>questionnaire!D446</f>
        <v/>
      </c>
      <c r="E446" s="9" t="str">
        <f>questionnaire!E446</f>
        <v/>
      </c>
      <c r="F446" s="9">
        <f>8-questionnaire!F446</f>
        <v>8</v>
      </c>
      <c r="G446" s="9">
        <f>8-questionnaire!G446</f>
        <v>8</v>
      </c>
      <c r="H446" s="9">
        <f>8-questionnaire!H446</f>
        <v>8</v>
      </c>
      <c r="I446" s="9">
        <f>C446*10+D446*5+E446*1.66-(questionnaire!F446*1.66+questionnaire!G446*5+questionnaire!H446*10)</f>
        <v>0</v>
      </c>
    </row>
    <row r="447">
      <c r="A447" s="8" t="str">
        <f>questionnaire!A447</f>
        <v/>
      </c>
      <c r="B447" s="9" t="str">
        <f>questionnaire!B447</f>
        <v/>
      </c>
      <c r="C447" s="9" t="str">
        <f>questionnaire!C447</f>
        <v/>
      </c>
      <c r="D447" s="9" t="str">
        <f>questionnaire!D447</f>
        <v/>
      </c>
      <c r="E447" s="9" t="str">
        <f>questionnaire!E447</f>
        <v/>
      </c>
      <c r="F447" s="9">
        <f>8-questionnaire!F447</f>
        <v>8</v>
      </c>
      <c r="G447" s="9">
        <f>8-questionnaire!G447</f>
        <v>8</v>
      </c>
      <c r="H447" s="9">
        <f>8-questionnaire!H447</f>
        <v>8</v>
      </c>
      <c r="I447" s="9">
        <f>C447*10+D447*5+E447*1.66-(questionnaire!F447*1.66+questionnaire!G447*5+questionnaire!H447*10)</f>
        <v>0</v>
      </c>
    </row>
    <row r="448">
      <c r="A448" s="8" t="str">
        <f>questionnaire!A448</f>
        <v/>
      </c>
      <c r="B448" s="9" t="str">
        <f>questionnaire!B448</f>
        <v/>
      </c>
      <c r="C448" s="9" t="str">
        <f>questionnaire!C448</f>
        <v/>
      </c>
      <c r="D448" s="9" t="str">
        <f>questionnaire!D448</f>
        <v/>
      </c>
      <c r="E448" s="9" t="str">
        <f>questionnaire!E448</f>
        <v/>
      </c>
      <c r="F448" s="9">
        <f>8-questionnaire!F448</f>
        <v>8</v>
      </c>
      <c r="G448" s="9">
        <f>8-questionnaire!G448</f>
        <v>8</v>
      </c>
      <c r="H448" s="9">
        <f>8-questionnaire!H448</f>
        <v>8</v>
      </c>
      <c r="I448" s="9">
        <f>C448*10+D448*5+E448*1.66-(questionnaire!F448*1.66+questionnaire!G448*5+questionnaire!H448*10)</f>
        <v>0</v>
      </c>
    </row>
    <row r="449">
      <c r="A449" s="8" t="str">
        <f>questionnaire!A449</f>
        <v/>
      </c>
      <c r="B449" s="9" t="str">
        <f>questionnaire!B449</f>
        <v/>
      </c>
      <c r="C449" s="9" t="str">
        <f>questionnaire!C449</f>
        <v/>
      </c>
      <c r="D449" s="9" t="str">
        <f>questionnaire!D449</f>
        <v/>
      </c>
      <c r="E449" s="9" t="str">
        <f>questionnaire!E449</f>
        <v/>
      </c>
      <c r="F449" s="9">
        <f>8-questionnaire!F449</f>
        <v>8</v>
      </c>
      <c r="G449" s="9">
        <f>8-questionnaire!G449</f>
        <v>8</v>
      </c>
      <c r="H449" s="9">
        <f>8-questionnaire!H449</f>
        <v>8</v>
      </c>
      <c r="I449" s="9">
        <f>C449*10+D449*5+E449*1.66-(questionnaire!F449*1.66+questionnaire!G449*5+questionnaire!H449*10)</f>
        <v>0</v>
      </c>
    </row>
    <row r="450">
      <c r="A450" s="8" t="str">
        <f>questionnaire!A450</f>
        <v/>
      </c>
      <c r="B450" s="9" t="str">
        <f>questionnaire!B450</f>
        <v/>
      </c>
      <c r="C450" s="9" t="str">
        <f>questionnaire!C450</f>
        <v/>
      </c>
      <c r="D450" s="9" t="str">
        <f>questionnaire!D450</f>
        <v/>
      </c>
      <c r="E450" s="9" t="str">
        <f>questionnaire!E450</f>
        <v/>
      </c>
      <c r="F450" s="9">
        <f>8-questionnaire!F450</f>
        <v>8</v>
      </c>
      <c r="G450" s="9">
        <f>8-questionnaire!G450</f>
        <v>8</v>
      </c>
      <c r="H450" s="9">
        <f>8-questionnaire!H450</f>
        <v>8</v>
      </c>
      <c r="I450" s="9">
        <f>C450*10+D450*5+E450*1.66-(questionnaire!F450*1.66+questionnaire!G450*5+questionnaire!H450*10)</f>
        <v>0</v>
      </c>
    </row>
    <row r="451">
      <c r="A451" s="8" t="str">
        <f>questionnaire!A451</f>
        <v/>
      </c>
      <c r="B451" s="9" t="str">
        <f>questionnaire!B451</f>
        <v/>
      </c>
      <c r="C451" s="9" t="str">
        <f>questionnaire!C451</f>
        <v/>
      </c>
      <c r="D451" s="9" t="str">
        <f>questionnaire!D451</f>
        <v/>
      </c>
      <c r="E451" s="9" t="str">
        <f>questionnaire!E451</f>
        <v/>
      </c>
      <c r="F451" s="9">
        <f>8-questionnaire!F451</f>
        <v>8</v>
      </c>
      <c r="G451" s="9">
        <f>8-questionnaire!G451</f>
        <v>8</v>
      </c>
      <c r="H451" s="9">
        <f>8-questionnaire!H451</f>
        <v>8</v>
      </c>
      <c r="I451" s="9">
        <f>C451*10+D451*5+E451*1.66-(questionnaire!F451*1.66+questionnaire!G451*5+questionnaire!H451*10)</f>
        <v>0</v>
      </c>
    </row>
    <row r="452">
      <c r="A452" s="8" t="str">
        <f>questionnaire!A452</f>
        <v/>
      </c>
      <c r="B452" s="9" t="str">
        <f>questionnaire!B452</f>
        <v/>
      </c>
      <c r="C452" s="9" t="str">
        <f>questionnaire!C452</f>
        <v/>
      </c>
      <c r="D452" s="9" t="str">
        <f>questionnaire!D452</f>
        <v/>
      </c>
      <c r="E452" s="9" t="str">
        <f>questionnaire!E452</f>
        <v/>
      </c>
      <c r="F452" s="9">
        <f>8-questionnaire!F452</f>
        <v>8</v>
      </c>
      <c r="G452" s="9">
        <f>8-questionnaire!G452</f>
        <v>8</v>
      </c>
      <c r="H452" s="9">
        <f>8-questionnaire!H452</f>
        <v>8</v>
      </c>
      <c r="I452" s="9">
        <f>C452*10+D452*5+E452*1.66-(questionnaire!F452*1.66+questionnaire!G452*5+questionnaire!H452*10)</f>
        <v>0</v>
      </c>
    </row>
    <row r="453">
      <c r="A453" s="8" t="str">
        <f>questionnaire!A453</f>
        <v/>
      </c>
      <c r="B453" s="9" t="str">
        <f>questionnaire!B453</f>
        <v/>
      </c>
      <c r="C453" s="9" t="str">
        <f>questionnaire!C453</f>
        <v/>
      </c>
      <c r="D453" s="9" t="str">
        <f>questionnaire!D453</f>
        <v/>
      </c>
      <c r="E453" s="9" t="str">
        <f>questionnaire!E453</f>
        <v/>
      </c>
      <c r="F453" s="9">
        <f>8-questionnaire!F453</f>
        <v>8</v>
      </c>
      <c r="G453" s="9">
        <f>8-questionnaire!G453</f>
        <v>8</v>
      </c>
      <c r="H453" s="9">
        <f>8-questionnaire!H453</f>
        <v>8</v>
      </c>
      <c r="I453" s="9">
        <f>C453*10+D453*5+E453*1.66-(questionnaire!F453*1.66+questionnaire!G453*5+questionnaire!H453*10)</f>
        <v>0</v>
      </c>
    </row>
    <row r="454">
      <c r="A454" s="8" t="str">
        <f>questionnaire!A454</f>
        <v/>
      </c>
      <c r="B454" s="9" t="str">
        <f>questionnaire!B454</f>
        <v/>
      </c>
      <c r="C454" s="9" t="str">
        <f>questionnaire!C454</f>
        <v/>
      </c>
      <c r="D454" s="9" t="str">
        <f>questionnaire!D454</f>
        <v/>
      </c>
      <c r="E454" s="9" t="str">
        <f>questionnaire!E454</f>
        <v/>
      </c>
      <c r="F454" s="9">
        <f>8-questionnaire!F454</f>
        <v>8</v>
      </c>
      <c r="G454" s="9">
        <f>8-questionnaire!G454</f>
        <v>8</v>
      </c>
      <c r="H454" s="9">
        <f>8-questionnaire!H454</f>
        <v>8</v>
      </c>
      <c r="I454" s="9">
        <f>C454*10+D454*5+E454*1.66-(questionnaire!F454*1.66+questionnaire!G454*5+questionnaire!H454*10)</f>
        <v>0</v>
      </c>
    </row>
    <row r="455">
      <c r="A455" s="8" t="str">
        <f>questionnaire!A455</f>
        <v/>
      </c>
      <c r="B455" s="9" t="str">
        <f>questionnaire!B455</f>
        <v/>
      </c>
      <c r="C455" s="9" t="str">
        <f>questionnaire!C455</f>
        <v/>
      </c>
      <c r="D455" s="9" t="str">
        <f>questionnaire!D455</f>
        <v/>
      </c>
      <c r="E455" s="9" t="str">
        <f>questionnaire!E455</f>
        <v/>
      </c>
      <c r="F455" s="9">
        <f>8-questionnaire!F455</f>
        <v>8</v>
      </c>
      <c r="G455" s="9">
        <f>8-questionnaire!G455</f>
        <v>8</v>
      </c>
      <c r="H455" s="9">
        <f>8-questionnaire!H455</f>
        <v>8</v>
      </c>
      <c r="I455" s="9">
        <f>C455*10+D455*5+E455*1.66-(questionnaire!F455*1.66+questionnaire!G455*5+questionnaire!H455*10)</f>
        <v>0</v>
      </c>
    </row>
    <row r="456">
      <c r="A456" s="8" t="str">
        <f>questionnaire!A456</f>
        <v/>
      </c>
      <c r="B456" s="9" t="str">
        <f>questionnaire!B456</f>
        <v/>
      </c>
      <c r="C456" s="9" t="str">
        <f>questionnaire!C456</f>
        <v/>
      </c>
      <c r="D456" s="9" t="str">
        <f>questionnaire!D456</f>
        <v/>
      </c>
      <c r="E456" s="9" t="str">
        <f>questionnaire!E456</f>
        <v/>
      </c>
      <c r="F456" s="9">
        <f>8-questionnaire!F456</f>
        <v>8</v>
      </c>
      <c r="G456" s="9">
        <f>8-questionnaire!G456</f>
        <v>8</v>
      </c>
      <c r="H456" s="9">
        <f>8-questionnaire!H456</f>
        <v>8</v>
      </c>
      <c r="I456" s="9">
        <f>C456*10+D456*5+E456*1.66-(questionnaire!F456*1.66+questionnaire!G456*5+questionnaire!H456*10)</f>
        <v>0</v>
      </c>
    </row>
    <row r="457">
      <c r="A457" s="8" t="str">
        <f>questionnaire!A457</f>
        <v/>
      </c>
      <c r="B457" s="9" t="str">
        <f>questionnaire!B457</f>
        <v/>
      </c>
      <c r="C457" s="9" t="str">
        <f>questionnaire!C457</f>
        <v/>
      </c>
      <c r="D457" s="9" t="str">
        <f>questionnaire!D457</f>
        <v/>
      </c>
      <c r="E457" s="9" t="str">
        <f>questionnaire!E457</f>
        <v/>
      </c>
      <c r="F457" s="9">
        <f>8-questionnaire!F457</f>
        <v>8</v>
      </c>
      <c r="G457" s="9">
        <f>8-questionnaire!G457</f>
        <v>8</v>
      </c>
      <c r="H457" s="9">
        <f>8-questionnaire!H457</f>
        <v>8</v>
      </c>
      <c r="I457" s="9">
        <f>C457*10+D457*5+E457*1.66-(questionnaire!F457*1.66+questionnaire!G457*5+questionnaire!H457*10)</f>
        <v>0</v>
      </c>
    </row>
    <row r="458">
      <c r="A458" s="8" t="str">
        <f>questionnaire!A458</f>
        <v/>
      </c>
      <c r="B458" s="9" t="str">
        <f>questionnaire!B458</f>
        <v/>
      </c>
      <c r="C458" s="9" t="str">
        <f>questionnaire!C458</f>
        <v/>
      </c>
      <c r="D458" s="9" t="str">
        <f>questionnaire!D458</f>
        <v/>
      </c>
      <c r="E458" s="9" t="str">
        <f>questionnaire!E458</f>
        <v/>
      </c>
      <c r="F458" s="9">
        <f>8-questionnaire!F458</f>
        <v>8</v>
      </c>
      <c r="G458" s="9">
        <f>8-questionnaire!G458</f>
        <v>8</v>
      </c>
      <c r="H458" s="9">
        <f>8-questionnaire!H458</f>
        <v>8</v>
      </c>
      <c r="I458" s="9">
        <f>C458*10+D458*5+E458*1.66-(questionnaire!F458*1.66+questionnaire!G458*5+questionnaire!H458*10)</f>
        <v>0</v>
      </c>
    </row>
    <row r="459">
      <c r="A459" s="8" t="str">
        <f>questionnaire!A459</f>
        <v/>
      </c>
      <c r="B459" s="9" t="str">
        <f>questionnaire!B459</f>
        <v/>
      </c>
      <c r="C459" s="9" t="str">
        <f>questionnaire!C459</f>
        <v/>
      </c>
      <c r="D459" s="9" t="str">
        <f>questionnaire!D459</f>
        <v/>
      </c>
      <c r="E459" s="9" t="str">
        <f>questionnaire!E459</f>
        <v/>
      </c>
      <c r="F459" s="9">
        <f>8-questionnaire!F459</f>
        <v>8</v>
      </c>
      <c r="G459" s="9">
        <f>8-questionnaire!G459</f>
        <v>8</v>
      </c>
      <c r="H459" s="9">
        <f>8-questionnaire!H459</f>
        <v>8</v>
      </c>
      <c r="I459" s="9">
        <f>C459*10+D459*5+E459*1.66-(questionnaire!F459*1.66+questionnaire!G459*5+questionnaire!H459*10)</f>
        <v>0</v>
      </c>
    </row>
    <row r="460">
      <c r="A460" s="8" t="str">
        <f>questionnaire!A460</f>
        <v/>
      </c>
      <c r="B460" s="9" t="str">
        <f>questionnaire!B460</f>
        <v/>
      </c>
      <c r="C460" s="9" t="str">
        <f>questionnaire!C460</f>
        <v/>
      </c>
      <c r="D460" s="9" t="str">
        <f>questionnaire!D460</f>
        <v/>
      </c>
      <c r="E460" s="9" t="str">
        <f>questionnaire!E460</f>
        <v/>
      </c>
      <c r="F460" s="9">
        <f>8-questionnaire!F460</f>
        <v>8</v>
      </c>
      <c r="G460" s="9">
        <f>8-questionnaire!G460</f>
        <v>8</v>
      </c>
      <c r="H460" s="9">
        <f>8-questionnaire!H460</f>
        <v>8</v>
      </c>
      <c r="I460" s="9">
        <f>C460*10+D460*5+E460*1.66-(questionnaire!F460*1.66+questionnaire!G460*5+questionnaire!H460*10)</f>
        <v>0</v>
      </c>
    </row>
    <row r="461">
      <c r="A461" s="8" t="str">
        <f>questionnaire!A461</f>
        <v/>
      </c>
      <c r="B461" s="9" t="str">
        <f>questionnaire!B461</f>
        <v/>
      </c>
      <c r="C461" s="9" t="str">
        <f>questionnaire!C461</f>
        <v/>
      </c>
      <c r="D461" s="9" t="str">
        <f>questionnaire!D461</f>
        <v/>
      </c>
      <c r="E461" s="9" t="str">
        <f>questionnaire!E461</f>
        <v/>
      </c>
      <c r="F461" s="9">
        <f>8-questionnaire!F461</f>
        <v>8</v>
      </c>
      <c r="G461" s="9">
        <f>8-questionnaire!G461</f>
        <v>8</v>
      </c>
      <c r="H461" s="9">
        <f>8-questionnaire!H461</f>
        <v>8</v>
      </c>
      <c r="I461" s="9">
        <f>C461*10+D461*5+E461*1.66-(questionnaire!F461*1.66+questionnaire!G461*5+questionnaire!H461*10)</f>
        <v>0</v>
      </c>
    </row>
    <row r="462">
      <c r="A462" s="8" t="str">
        <f>questionnaire!A462</f>
        <v/>
      </c>
      <c r="B462" s="9" t="str">
        <f>questionnaire!B462</f>
        <v/>
      </c>
      <c r="C462" s="9" t="str">
        <f>questionnaire!C462</f>
        <v/>
      </c>
      <c r="D462" s="9" t="str">
        <f>questionnaire!D462</f>
        <v/>
      </c>
      <c r="E462" s="9" t="str">
        <f>questionnaire!E462</f>
        <v/>
      </c>
      <c r="F462" s="9">
        <f>8-questionnaire!F462</f>
        <v>8</v>
      </c>
      <c r="G462" s="9">
        <f>8-questionnaire!G462</f>
        <v>8</v>
      </c>
      <c r="H462" s="9">
        <f>8-questionnaire!H462</f>
        <v>8</v>
      </c>
      <c r="I462" s="9">
        <f>C462*10+D462*5+E462*1.66-(questionnaire!F462*1.66+questionnaire!G462*5+questionnaire!H462*10)</f>
        <v>0</v>
      </c>
    </row>
    <row r="463">
      <c r="A463" s="8" t="str">
        <f>questionnaire!A463</f>
        <v/>
      </c>
      <c r="B463" s="9" t="str">
        <f>questionnaire!B463</f>
        <v/>
      </c>
      <c r="C463" s="9" t="str">
        <f>questionnaire!C463</f>
        <v/>
      </c>
      <c r="D463" s="9" t="str">
        <f>questionnaire!D463</f>
        <v/>
      </c>
      <c r="E463" s="9" t="str">
        <f>questionnaire!E463</f>
        <v/>
      </c>
      <c r="F463" s="9">
        <f>8-questionnaire!F463</f>
        <v>8</v>
      </c>
      <c r="G463" s="9">
        <f>8-questionnaire!G463</f>
        <v>8</v>
      </c>
      <c r="H463" s="9">
        <f>8-questionnaire!H463</f>
        <v>8</v>
      </c>
      <c r="I463" s="9">
        <f>C463*10+D463*5+E463*1.66-(questionnaire!F463*1.66+questionnaire!G463*5+questionnaire!H463*10)</f>
        <v>0</v>
      </c>
    </row>
    <row r="464">
      <c r="A464" s="8" t="str">
        <f>questionnaire!A464</f>
        <v/>
      </c>
      <c r="B464" s="9" t="str">
        <f>questionnaire!B464</f>
        <v/>
      </c>
      <c r="C464" s="9" t="str">
        <f>questionnaire!C464</f>
        <v/>
      </c>
      <c r="D464" s="9" t="str">
        <f>questionnaire!D464</f>
        <v/>
      </c>
      <c r="E464" s="9" t="str">
        <f>questionnaire!E464</f>
        <v/>
      </c>
      <c r="F464" s="9">
        <f>8-questionnaire!F464</f>
        <v>8</v>
      </c>
      <c r="G464" s="9">
        <f>8-questionnaire!G464</f>
        <v>8</v>
      </c>
      <c r="H464" s="9">
        <f>8-questionnaire!H464</f>
        <v>8</v>
      </c>
      <c r="I464" s="9">
        <f>C464*10+D464*5+E464*1.66-(questionnaire!F464*1.66+questionnaire!G464*5+questionnaire!H464*10)</f>
        <v>0</v>
      </c>
    </row>
    <row r="465">
      <c r="A465" s="8" t="str">
        <f>questionnaire!A465</f>
        <v/>
      </c>
      <c r="B465" s="9" t="str">
        <f>questionnaire!B465</f>
        <v/>
      </c>
      <c r="C465" s="9" t="str">
        <f>questionnaire!C465</f>
        <v/>
      </c>
      <c r="D465" s="9" t="str">
        <f>questionnaire!D465</f>
        <v/>
      </c>
      <c r="E465" s="9" t="str">
        <f>questionnaire!E465</f>
        <v/>
      </c>
      <c r="F465" s="9">
        <f>8-questionnaire!F465</f>
        <v>8</v>
      </c>
      <c r="G465" s="9">
        <f>8-questionnaire!G465</f>
        <v>8</v>
      </c>
      <c r="H465" s="9">
        <f>8-questionnaire!H465</f>
        <v>8</v>
      </c>
      <c r="I465" s="9">
        <f>C465*10+D465*5+E465*1.66-(questionnaire!F465*1.66+questionnaire!G465*5+questionnaire!H465*10)</f>
        <v>0</v>
      </c>
    </row>
    <row r="466">
      <c r="A466" s="8" t="str">
        <f>questionnaire!A466</f>
        <v/>
      </c>
      <c r="B466" s="9" t="str">
        <f>questionnaire!B466</f>
        <v/>
      </c>
      <c r="C466" s="9" t="str">
        <f>questionnaire!C466</f>
        <v/>
      </c>
      <c r="D466" s="9" t="str">
        <f>questionnaire!D466</f>
        <v/>
      </c>
      <c r="E466" s="9" t="str">
        <f>questionnaire!E466</f>
        <v/>
      </c>
      <c r="F466" s="9">
        <f>8-questionnaire!F466</f>
        <v>8</v>
      </c>
      <c r="G466" s="9">
        <f>8-questionnaire!G466</f>
        <v>8</v>
      </c>
      <c r="H466" s="9">
        <f>8-questionnaire!H466</f>
        <v>8</v>
      </c>
      <c r="I466" s="9">
        <f>C466*10+D466*5+E466*1.66-(questionnaire!F466*1.66+questionnaire!G466*5+questionnaire!H466*10)</f>
        <v>0</v>
      </c>
    </row>
    <row r="467">
      <c r="A467" s="8" t="str">
        <f>questionnaire!A467</f>
        <v/>
      </c>
      <c r="B467" s="9" t="str">
        <f>questionnaire!B467</f>
        <v/>
      </c>
      <c r="C467" s="9" t="str">
        <f>questionnaire!C467</f>
        <v/>
      </c>
      <c r="D467" s="9" t="str">
        <f>questionnaire!D467</f>
        <v/>
      </c>
      <c r="E467" s="9" t="str">
        <f>questionnaire!E467</f>
        <v/>
      </c>
      <c r="F467" s="9">
        <f>8-questionnaire!F467</f>
        <v>8</v>
      </c>
      <c r="G467" s="9">
        <f>8-questionnaire!G467</f>
        <v>8</v>
      </c>
      <c r="H467" s="9">
        <f>8-questionnaire!H467</f>
        <v>8</v>
      </c>
      <c r="I467" s="9">
        <f>C467*10+D467*5+E467*1.66-(questionnaire!F467*1.66+questionnaire!G467*5+questionnaire!H467*10)</f>
        <v>0</v>
      </c>
    </row>
    <row r="468">
      <c r="A468" s="8" t="str">
        <f>questionnaire!A468</f>
        <v/>
      </c>
      <c r="B468" s="9" t="str">
        <f>questionnaire!B468</f>
        <v/>
      </c>
      <c r="C468" s="9" t="str">
        <f>questionnaire!C468</f>
        <v/>
      </c>
      <c r="D468" s="9" t="str">
        <f>questionnaire!D468</f>
        <v/>
      </c>
      <c r="E468" s="9" t="str">
        <f>questionnaire!E468</f>
        <v/>
      </c>
      <c r="F468" s="9">
        <f>8-questionnaire!F468</f>
        <v>8</v>
      </c>
      <c r="G468" s="9">
        <f>8-questionnaire!G468</f>
        <v>8</v>
      </c>
      <c r="H468" s="9">
        <f>8-questionnaire!H468</f>
        <v>8</v>
      </c>
      <c r="I468" s="9">
        <f>C468*10+D468*5+E468*1.66-(questionnaire!F468*1.66+questionnaire!G468*5+questionnaire!H468*10)</f>
        <v>0</v>
      </c>
    </row>
    <row r="469">
      <c r="A469" s="8" t="str">
        <f>questionnaire!A469</f>
        <v/>
      </c>
      <c r="B469" s="9" t="str">
        <f>questionnaire!B469</f>
        <v/>
      </c>
      <c r="C469" s="9" t="str">
        <f>questionnaire!C469</f>
        <v/>
      </c>
      <c r="D469" s="9" t="str">
        <f>questionnaire!D469</f>
        <v/>
      </c>
      <c r="E469" s="9" t="str">
        <f>questionnaire!E469</f>
        <v/>
      </c>
      <c r="F469" s="9">
        <f>8-questionnaire!F469</f>
        <v>8</v>
      </c>
      <c r="G469" s="9">
        <f>8-questionnaire!G469</f>
        <v>8</v>
      </c>
      <c r="H469" s="9">
        <f>8-questionnaire!H469</f>
        <v>8</v>
      </c>
      <c r="I469" s="9">
        <f>C469*10+D469*5+E469*1.66-(questionnaire!F469*1.66+questionnaire!G469*5+questionnaire!H469*10)</f>
        <v>0</v>
      </c>
    </row>
    <row r="470">
      <c r="A470" s="8" t="str">
        <f>questionnaire!A470</f>
        <v/>
      </c>
      <c r="B470" s="9" t="str">
        <f>questionnaire!B470</f>
        <v/>
      </c>
      <c r="C470" s="9" t="str">
        <f>questionnaire!C470</f>
        <v/>
      </c>
      <c r="D470" s="9" t="str">
        <f>questionnaire!D470</f>
        <v/>
      </c>
      <c r="E470" s="9" t="str">
        <f>questionnaire!E470</f>
        <v/>
      </c>
      <c r="F470" s="9">
        <f>8-questionnaire!F470</f>
        <v>8</v>
      </c>
      <c r="G470" s="9">
        <f>8-questionnaire!G470</f>
        <v>8</v>
      </c>
      <c r="H470" s="9">
        <f>8-questionnaire!H470</f>
        <v>8</v>
      </c>
      <c r="I470" s="9">
        <f>C470*10+D470*5+E470*1.66-(questionnaire!F470*1.66+questionnaire!G470*5+questionnaire!H470*10)</f>
        <v>0</v>
      </c>
    </row>
    <row r="471">
      <c r="A471" s="8" t="str">
        <f>questionnaire!A471</f>
        <v/>
      </c>
      <c r="B471" s="9" t="str">
        <f>questionnaire!B471</f>
        <v/>
      </c>
      <c r="C471" s="9" t="str">
        <f>questionnaire!C471</f>
        <v/>
      </c>
      <c r="D471" s="9" t="str">
        <f>questionnaire!D471</f>
        <v/>
      </c>
      <c r="E471" s="9" t="str">
        <f>questionnaire!E471</f>
        <v/>
      </c>
      <c r="F471" s="9">
        <f>8-questionnaire!F471</f>
        <v>8</v>
      </c>
      <c r="G471" s="9">
        <f>8-questionnaire!G471</f>
        <v>8</v>
      </c>
      <c r="H471" s="9">
        <f>8-questionnaire!H471</f>
        <v>8</v>
      </c>
      <c r="I471" s="9">
        <f>C471*10+D471*5+E471*1.66-(questionnaire!F471*1.66+questionnaire!G471*5+questionnaire!H471*10)</f>
        <v>0</v>
      </c>
    </row>
    <row r="472">
      <c r="A472" s="8" t="str">
        <f>questionnaire!A472</f>
        <v/>
      </c>
      <c r="B472" s="9" t="str">
        <f>questionnaire!B472</f>
        <v/>
      </c>
      <c r="C472" s="9" t="str">
        <f>questionnaire!C472</f>
        <v/>
      </c>
      <c r="D472" s="9" t="str">
        <f>questionnaire!D472</f>
        <v/>
      </c>
      <c r="E472" s="9" t="str">
        <f>questionnaire!E472</f>
        <v/>
      </c>
      <c r="F472" s="9">
        <f>8-questionnaire!F472</f>
        <v>8</v>
      </c>
      <c r="G472" s="9">
        <f>8-questionnaire!G472</f>
        <v>8</v>
      </c>
      <c r="H472" s="9">
        <f>8-questionnaire!H472</f>
        <v>8</v>
      </c>
      <c r="I472" s="9">
        <f>C472*10+D472*5+E472*1.66-(questionnaire!F472*1.66+questionnaire!G472*5+questionnaire!H472*10)</f>
        <v>0</v>
      </c>
    </row>
    <row r="473">
      <c r="A473" s="8" t="str">
        <f>questionnaire!A473</f>
        <v/>
      </c>
      <c r="B473" s="9" t="str">
        <f>questionnaire!B473</f>
        <v/>
      </c>
      <c r="C473" s="9" t="str">
        <f>questionnaire!C473</f>
        <v/>
      </c>
      <c r="D473" s="9" t="str">
        <f>questionnaire!D473</f>
        <v/>
      </c>
      <c r="E473" s="9" t="str">
        <f>questionnaire!E473</f>
        <v/>
      </c>
      <c r="F473" s="9">
        <f>8-questionnaire!F473</f>
        <v>8</v>
      </c>
      <c r="G473" s="9">
        <f>8-questionnaire!G473</f>
        <v>8</v>
      </c>
      <c r="H473" s="9">
        <f>8-questionnaire!H473</f>
        <v>8</v>
      </c>
      <c r="I473" s="9">
        <f>C473*10+D473*5+E473*1.66-(questionnaire!F473*1.66+questionnaire!G473*5+questionnaire!H473*10)</f>
        <v>0</v>
      </c>
    </row>
    <row r="474">
      <c r="A474" s="8" t="str">
        <f>questionnaire!A474</f>
        <v/>
      </c>
      <c r="B474" s="9" t="str">
        <f>questionnaire!B474</f>
        <v/>
      </c>
      <c r="C474" s="9" t="str">
        <f>questionnaire!C474</f>
        <v/>
      </c>
      <c r="D474" s="9" t="str">
        <f>questionnaire!D474</f>
        <v/>
      </c>
      <c r="E474" s="9" t="str">
        <f>questionnaire!E474</f>
        <v/>
      </c>
      <c r="F474" s="9">
        <f>8-questionnaire!F474</f>
        <v>8</v>
      </c>
      <c r="G474" s="9">
        <f>8-questionnaire!G474</f>
        <v>8</v>
      </c>
      <c r="H474" s="9">
        <f>8-questionnaire!H474</f>
        <v>8</v>
      </c>
      <c r="I474" s="9">
        <f>C474*10+D474*5+E474*1.66-(questionnaire!F474*1.66+questionnaire!G474*5+questionnaire!H474*10)</f>
        <v>0</v>
      </c>
    </row>
    <row r="475">
      <c r="A475" s="8" t="str">
        <f>questionnaire!A475</f>
        <v/>
      </c>
      <c r="B475" s="9" t="str">
        <f>questionnaire!B475</f>
        <v/>
      </c>
      <c r="C475" s="9" t="str">
        <f>questionnaire!C475</f>
        <v/>
      </c>
      <c r="D475" s="9" t="str">
        <f>questionnaire!D475</f>
        <v/>
      </c>
      <c r="E475" s="9" t="str">
        <f>questionnaire!E475</f>
        <v/>
      </c>
      <c r="F475" s="9">
        <f>8-questionnaire!F475</f>
        <v>8</v>
      </c>
      <c r="G475" s="9">
        <f>8-questionnaire!G475</f>
        <v>8</v>
      </c>
      <c r="H475" s="9">
        <f>8-questionnaire!H475</f>
        <v>8</v>
      </c>
      <c r="I475" s="9">
        <f>C475*10+D475*5+E475*1.66-(questionnaire!F475*1.66+questionnaire!G475*5+questionnaire!H475*10)</f>
        <v>0</v>
      </c>
    </row>
    <row r="476">
      <c r="A476" s="8" t="str">
        <f>questionnaire!A476</f>
        <v/>
      </c>
      <c r="B476" s="9" t="str">
        <f>questionnaire!B476</f>
        <v/>
      </c>
      <c r="C476" s="9" t="str">
        <f>questionnaire!C476</f>
        <v/>
      </c>
      <c r="D476" s="9" t="str">
        <f>questionnaire!D476</f>
        <v/>
      </c>
      <c r="E476" s="9" t="str">
        <f>questionnaire!E476</f>
        <v/>
      </c>
      <c r="F476" s="9">
        <f>8-questionnaire!F476</f>
        <v>8</v>
      </c>
      <c r="G476" s="9">
        <f>8-questionnaire!G476</f>
        <v>8</v>
      </c>
      <c r="H476" s="9">
        <f>8-questionnaire!H476</f>
        <v>8</v>
      </c>
      <c r="I476" s="9">
        <f>C476*10+D476*5+E476*1.66-(questionnaire!F476*1.66+questionnaire!G476*5+questionnaire!H476*10)</f>
        <v>0</v>
      </c>
    </row>
    <row r="477">
      <c r="A477" s="8" t="str">
        <f>questionnaire!A477</f>
        <v/>
      </c>
      <c r="B477" s="9" t="str">
        <f>questionnaire!B477</f>
        <v/>
      </c>
      <c r="C477" s="9" t="str">
        <f>questionnaire!C477</f>
        <v/>
      </c>
      <c r="D477" s="9" t="str">
        <f>questionnaire!D477</f>
        <v/>
      </c>
      <c r="E477" s="9" t="str">
        <f>questionnaire!E477</f>
        <v/>
      </c>
      <c r="F477" s="9">
        <f>8-questionnaire!F477</f>
        <v>8</v>
      </c>
      <c r="G477" s="9">
        <f>8-questionnaire!G477</f>
        <v>8</v>
      </c>
      <c r="H477" s="9">
        <f>8-questionnaire!H477</f>
        <v>8</v>
      </c>
      <c r="I477" s="9">
        <f>C477*10+D477*5+E477*1.66-(questionnaire!F477*1.66+questionnaire!G477*5+questionnaire!H477*10)</f>
        <v>0</v>
      </c>
    </row>
    <row r="478">
      <c r="A478" s="8" t="str">
        <f>questionnaire!A478</f>
        <v/>
      </c>
      <c r="B478" s="9" t="str">
        <f>questionnaire!B478</f>
        <v/>
      </c>
      <c r="C478" s="9" t="str">
        <f>questionnaire!C478</f>
        <v/>
      </c>
      <c r="D478" s="9" t="str">
        <f>questionnaire!D478</f>
        <v/>
      </c>
      <c r="E478" s="9" t="str">
        <f>questionnaire!E478</f>
        <v/>
      </c>
      <c r="F478" s="9">
        <f>8-questionnaire!F478</f>
        <v>8</v>
      </c>
      <c r="G478" s="9">
        <f>8-questionnaire!G478</f>
        <v>8</v>
      </c>
      <c r="H478" s="9">
        <f>8-questionnaire!H478</f>
        <v>8</v>
      </c>
      <c r="I478" s="9">
        <f>C478*10+D478*5+E478*1.66-(questionnaire!F478*1.66+questionnaire!G478*5+questionnaire!H478*10)</f>
        <v>0</v>
      </c>
    </row>
    <row r="479">
      <c r="A479" s="8" t="str">
        <f>questionnaire!A479</f>
        <v/>
      </c>
      <c r="B479" s="9" t="str">
        <f>questionnaire!B479</f>
        <v/>
      </c>
      <c r="C479" s="9" t="str">
        <f>questionnaire!C479</f>
        <v/>
      </c>
      <c r="D479" s="9" t="str">
        <f>questionnaire!D479</f>
        <v/>
      </c>
      <c r="E479" s="9" t="str">
        <f>questionnaire!E479</f>
        <v/>
      </c>
      <c r="F479" s="9">
        <f>8-questionnaire!F479</f>
        <v>8</v>
      </c>
      <c r="G479" s="9">
        <f>8-questionnaire!G479</f>
        <v>8</v>
      </c>
      <c r="H479" s="9">
        <f>8-questionnaire!H479</f>
        <v>8</v>
      </c>
      <c r="I479" s="9">
        <f>C479*10+D479*5+E479*1.66-(questionnaire!F479*1.66+questionnaire!G479*5+questionnaire!H479*10)</f>
        <v>0</v>
      </c>
    </row>
    <row r="480">
      <c r="A480" s="8" t="str">
        <f>questionnaire!A480</f>
        <v/>
      </c>
      <c r="B480" s="9" t="str">
        <f>questionnaire!B480</f>
        <v/>
      </c>
      <c r="C480" s="9" t="str">
        <f>questionnaire!C480</f>
        <v/>
      </c>
      <c r="D480" s="9" t="str">
        <f>questionnaire!D480</f>
        <v/>
      </c>
      <c r="E480" s="9" t="str">
        <f>questionnaire!E480</f>
        <v/>
      </c>
      <c r="F480" s="9">
        <f>8-questionnaire!F480</f>
        <v>8</v>
      </c>
      <c r="G480" s="9">
        <f>8-questionnaire!G480</f>
        <v>8</v>
      </c>
      <c r="H480" s="9">
        <f>8-questionnaire!H480</f>
        <v>8</v>
      </c>
      <c r="I480" s="9">
        <f>C480*10+D480*5+E480*1.66-(questionnaire!F480*1.66+questionnaire!G480*5+questionnaire!H480*10)</f>
        <v>0</v>
      </c>
    </row>
    <row r="481">
      <c r="A481" s="8" t="str">
        <f>questionnaire!A481</f>
        <v/>
      </c>
      <c r="B481" s="9" t="str">
        <f>questionnaire!B481</f>
        <v/>
      </c>
      <c r="C481" s="9" t="str">
        <f>questionnaire!C481</f>
        <v/>
      </c>
      <c r="D481" s="9" t="str">
        <f>questionnaire!D481</f>
        <v/>
      </c>
      <c r="E481" s="9" t="str">
        <f>questionnaire!E481</f>
        <v/>
      </c>
      <c r="F481" s="9">
        <f>8-questionnaire!F481</f>
        <v>8</v>
      </c>
      <c r="G481" s="9">
        <f>8-questionnaire!G481</f>
        <v>8</v>
      </c>
      <c r="H481" s="9">
        <f>8-questionnaire!H481</f>
        <v>8</v>
      </c>
      <c r="I481" s="9">
        <f>C481*10+D481*5+E481*1.66-(questionnaire!F481*1.66+questionnaire!G481*5+questionnaire!H481*10)</f>
        <v>0</v>
      </c>
    </row>
    <row r="482">
      <c r="A482" s="8" t="str">
        <f>questionnaire!A482</f>
        <v/>
      </c>
      <c r="B482" s="9" t="str">
        <f>questionnaire!B482</f>
        <v/>
      </c>
      <c r="C482" s="9" t="str">
        <f>questionnaire!C482</f>
        <v/>
      </c>
      <c r="D482" s="9" t="str">
        <f>questionnaire!D482</f>
        <v/>
      </c>
      <c r="E482" s="9" t="str">
        <f>questionnaire!E482</f>
        <v/>
      </c>
      <c r="F482" s="9">
        <f>8-questionnaire!F482</f>
        <v>8</v>
      </c>
      <c r="G482" s="9">
        <f>8-questionnaire!G482</f>
        <v>8</v>
      </c>
      <c r="H482" s="9">
        <f>8-questionnaire!H482</f>
        <v>8</v>
      </c>
      <c r="I482" s="9">
        <f>C482*10+D482*5+E482*1.66-(questionnaire!F482*1.66+questionnaire!G482*5+questionnaire!H482*10)</f>
        <v>0</v>
      </c>
    </row>
    <row r="483">
      <c r="A483" s="8" t="str">
        <f>questionnaire!A483</f>
        <v/>
      </c>
      <c r="B483" s="9" t="str">
        <f>questionnaire!B483</f>
        <v/>
      </c>
      <c r="C483" s="9" t="str">
        <f>questionnaire!C483</f>
        <v/>
      </c>
      <c r="D483" s="9" t="str">
        <f>questionnaire!D483</f>
        <v/>
      </c>
      <c r="E483" s="9" t="str">
        <f>questionnaire!E483</f>
        <v/>
      </c>
      <c r="F483" s="9">
        <f>8-questionnaire!F483</f>
        <v>8</v>
      </c>
      <c r="G483" s="9">
        <f>8-questionnaire!G483</f>
        <v>8</v>
      </c>
      <c r="H483" s="9">
        <f>8-questionnaire!H483</f>
        <v>8</v>
      </c>
      <c r="I483" s="9">
        <f>C483*10+D483*5+E483*1.66-(questionnaire!F483*1.66+questionnaire!G483*5+questionnaire!H483*10)</f>
        <v>0</v>
      </c>
    </row>
    <row r="484">
      <c r="A484" s="8" t="str">
        <f>questionnaire!A484</f>
        <v/>
      </c>
      <c r="B484" s="9" t="str">
        <f>questionnaire!B484</f>
        <v/>
      </c>
      <c r="C484" s="9" t="str">
        <f>questionnaire!C484</f>
        <v/>
      </c>
      <c r="D484" s="9" t="str">
        <f>questionnaire!D484</f>
        <v/>
      </c>
      <c r="E484" s="9" t="str">
        <f>questionnaire!E484</f>
        <v/>
      </c>
      <c r="F484" s="9">
        <f>8-questionnaire!F484</f>
        <v>8</v>
      </c>
      <c r="G484" s="9">
        <f>8-questionnaire!G484</f>
        <v>8</v>
      </c>
      <c r="H484" s="9">
        <f>8-questionnaire!H484</f>
        <v>8</v>
      </c>
      <c r="I484" s="9">
        <f>C484*10+D484*5+E484*1.66-(questionnaire!F484*1.66+questionnaire!G484*5+questionnaire!H484*10)</f>
        <v>0</v>
      </c>
    </row>
    <row r="485">
      <c r="A485" s="8" t="str">
        <f>questionnaire!A485</f>
        <v/>
      </c>
      <c r="B485" s="9" t="str">
        <f>questionnaire!B485</f>
        <v/>
      </c>
      <c r="C485" s="9" t="str">
        <f>questionnaire!C485</f>
        <v/>
      </c>
      <c r="D485" s="9" t="str">
        <f>questionnaire!D485</f>
        <v/>
      </c>
      <c r="E485" s="9" t="str">
        <f>questionnaire!E485</f>
        <v/>
      </c>
      <c r="F485" s="9">
        <f>8-questionnaire!F485</f>
        <v>8</v>
      </c>
      <c r="G485" s="9">
        <f>8-questionnaire!G485</f>
        <v>8</v>
      </c>
      <c r="H485" s="9">
        <f>8-questionnaire!H485</f>
        <v>8</v>
      </c>
      <c r="I485" s="9">
        <f>C485*10+D485*5+E485*1.66-(questionnaire!F485*1.66+questionnaire!G485*5+questionnaire!H485*10)</f>
        <v>0</v>
      </c>
    </row>
    <row r="486">
      <c r="A486" s="8" t="str">
        <f>questionnaire!A486</f>
        <v/>
      </c>
      <c r="B486" s="9" t="str">
        <f>questionnaire!B486</f>
        <v/>
      </c>
      <c r="C486" s="9" t="str">
        <f>questionnaire!C486</f>
        <v/>
      </c>
      <c r="D486" s="9" t="str">
        <f>questionnaire!D486</f>
        <v/>
      </c>
      <c r="E486" s="9" t="str">
        <f>questionnaire!E486</f>
        <v/>
      </c>
      <c r="F486" s="9">
        <f>8-questionnaire!F486</f>
        <v>8</v>
      </c>
      <c r="G486" s="9">
        <f>8-questionnaire!G486</f>
        <v>8</v>
      </c>
      <c r="H486" s="9">
        <f>8-questionnaire!H486</f>
        <v>8</v>
      </c>
      <c r="I486" s="9">
        <f>C486*10+D486*5+E486*1.66-(questionnaire!F486*1.66+questionnaire!G486*5+questionnaire!H486*10)</f>
        <v>0</v>
      </c>
    </row>
    <row r="487">
      <c r="A487" s="8" t="str">
        <f>questionnaire!A487</f>
        <v/>
      </c>
      <c r="B487" s="9" t="str">
        <f>questionnaire!B487</f>
        <v/>
      </c>
      <c r="C487" s="9" t="str">
        <f>questionnaire!C487</f>
        <v/>
      </c>
      <c r="D487" s="9" t="str">
        <f>questionnaire!D487</f>
        <v/>
      </c>
      <c r="E487" s="9" t="str">
        <f>questionnaire!E487</f>
        <v/>
      </c>
      <c r="F487" s="9">
        <f>8-questionnaire!F487</f>
        <v>8</v>
      </c>
      <c r="G487" s="9">
        <f>8-questionnaire!G487</f>
        <v>8</v>
      </c>
      <c r="H487" s="9">
        <f>8-questionnaire!H487</f>
        <v>8</v>
      </c>
      <c r="I487" s="9">
        <f>C487*10+D487*5+E487*1.66-(questionnaire!F487*1.66+questionnaire!G487*5+questionnaire!H487*10)</f>
        <v>0</v>
      </c>
    </row>
    <row r="488">
      <c r="A488" s="8" t="str">
        <f>questionnaire!A488</f>
        <v/>
      </c>
      <c r="B488" s="9" t="str">
        <f>questionnaire!B488</f>
        <v/>
      </c>
      <c r="C488" s="9" t="str">
        <f>questionnaire!C488</f>
        <v/>
      </c>
      <c r="D488" s="9" t="str">
        <f>questionnaire!D488</f>
        <v/>
      </c>
      <c r="E488" s="9" t="str">
        <f>questionnaire!E488</f>
        <v/>
      </c>
      <c r="F488" s="9">
        <f>8-questionnaire!F488</f>
        <v>8</v>
      </c>
      <c r="G488" s="9">
        <f>8-questionnaire!G488</f>
        <v>8</v>
      </c>
      <c r="H488" s="9">
        <f>8-questionnaire!H488</f>
        <v>8</v>
      </c>
      <c r="I488" s="9">
        <f>C488*10+D488*5+E488*1.66-(questionnaire!F488*1.66+questionnaire!G488*5+questionnaire!H488*10)</f>
        <v>0</v>
      </c>
    </row>
    <row r="489">
      <c r="A489" s="8" t="str">
        <f>questionnaire!A489</f>
        <v/>
      </c>
      <c r="B489" s="9" t="str">
        <f>questionnaire!B489</f>
        <v/>
      </c>
      <c r="C489" s="9" t="str">
        <f>questionnaire!C489</f>
        <v/>
      </c>
      <c r="D489" s="9" t="str">
        <f>questionnaire!D489</f>
        <v/>
      </c>
      <c r="E489" s="9" t="str">
        <f>questionnaire!E489</f>
        <v/>
      </c>
      <c r="F489" s="9">
        <f>8-questionnaire!F489</f>
        <v>8</v>
      </c>
      <c r="G489" s="9">
        <f>8-questionnaire!G489</f>
        <v>8</v>
      </c>
      <c r="H489" s="9">
        <f>8-questionnaire!H489</f>
        <v>8</v>
      </c>
      <c r="I489" s="9">
        <f>C489*10+D489*5+E489*1.66-(questionnaire!F489*1.66+questionnaire!G489*5+questionnaire!H489*10)</f>
        <v>0</v>
      </c>
    </row>
    <row r="490">
      <c r="A490" s="8" t="str">
        <f>questionnaire!A490</f>
        <v/>
      </c>
      <c r="B490" s="9" t="str">
        <f>questionnaire!B490</f>
        <v/>
      </c>
      <c r="C490" s="9" t="str">
        <f>questionnaire!C490</f>
        <v/>
      </c>
      <c r="D490" s="9" t="str">
        <f>questionnaire!D490</f>
        <v/>
      </c>
      <c r="E490" s="9" t="str">
        <f>questionnaire!E490</f>
        <v/>
      </c>
      <c r="F490" s="9">
        <f>8-questionnaire!F490</f>
        <v>8</v>
      </c>
      <c r="G490" s="9">
        <f>8-questionnaire!G490</f>
        <v>8</v>
      </c>
      <c r="H490" s="9">
        <f>8-questionnaire!H490</f>
        <v>8</v>
      </c>
      <c r="I490" s="9">
        <f>C490*10+D490*5+E490*1.66-(questionnaire!F490*1.66+questionnaire!G490*5+questionnaire!H490*10)</f>
        <v>0</v>
      </c>
    </row>
    <row r="491">
      <c r="A491" s="8" t="str">
        <f>questionnaire!A491</f>
        <v/>
      </c>
      <c r="B491" s="9" t="str">
        <f>questionnaire!B491</f>
        <v/>
      </c>
      <c r="C491" s="9" t="str">
        <f>questionnaire!C491</f>
        <v/>
      </c>
      <c r="D491" s="9" t="str">
        <f>questionnaire!D491</f>
        <v/>
      </c>
      <c r="E491" s="9" t="str">
        <f>questionnaire!E491</f>
        <v/>
      </c>
      <c r="F491" s="9">
        <f>8-questionnaire!F491</f>
        <v>8</v>
      </c>
      <c r="G491" s="9">
        <f>8-questionnaire!G491</f>
        <v>8</v>
      </c>
      <c r="H491" s="9">
        <f>8-questionnaire!H491</f>
        <v>8</v>
      </c>
      <c r="I491" s="9">
        <f>C491*10+D491*5+E491*1.66-(questionnaire!F491*1.66+questionnaire!G491*5+questionnaire!H491*10)</f>
        <v>0</v>
      </c>
    </row>
    <row r="492">
      <c r="A492" s="8" t="str">
        <f>questionnaire!A492</f>
        <v/>
      </c>
      <c r="B492" s="9" t="str">
        <f>questionnaire!B492</f>
        <v/>
      </c>
      <c r="C492" s="9" t="str">
        <f>questionnaire!C492</f>
        <v/>
      </c>
      <c r="D492" s="9" t="str">
        <f>questionnaire!D492</f>
        <v/>
      </c>
      <c r="E492" s="9" t="str">
        <f>questionnaire!E492</f>
        <v/>
      </c>
      <c r="F492" s="9">
        <f>8-questionnaire!F492</f>
        <v>8</v>
      </c>
      <c r="G492" s="9">
        <f>8-questionnaire!G492</f>
        <v>8</v>
      </c>
      <c r="H492" s="9">
        <f>8-questionnaire!H492</f>
        <v>8</v>
      </c>
      <c r="I492" s="9">
        <f>C492*10+D492*5+E492*1.66-(questionnaire!F492*1.66+questionnaire!G492*5+questionnaire!H492*10)</f>
        <v>0</v>
      </c>
    </row>
    <row r="493">
      <c r="A493" s="8" t="str">
        <f>questionnaire!A493</f>
        <v/>
      </c>
      <c r="B493" s="9" t="str">
        <f>questionnaire!B493</f>
        <v/>
      </c>
      <c r="C493" s="9" t="str">
        <f>questionnaire!C493</f>
        <v/>
      </c>
      <c r="D493" s="9" t="str">
        <f>questionnaire!D493</f>
        <v/>
      </c>
      <c r="E493" s="9" t="str">
        <f>questionnaire!E493</f>
        <v/>
      </c>
      <c r="F493" s="9">
        <f>8-questionnaire!F493</f>
        <v>8</v>
      </c>
      <c r="G493" s="9">
        <f>8-questionnaire!G493</f>
        <v>8</v>
      </c>
      <c r="H493" s="9">
        <f>8-questionnaire!H493</f>
        <v>8</v>
      </c>
      <c r="I493" s="9">
        <f>C493*10+D493*5+E493*1.66-(questionnaire!F493*1.66+questionnaire!G493*5+questionnaire!H493*10)</f>
        <v>0</v>
      </c>
    </row>
    <row r="494">
      <c r="A494" s="8" t="str">
        <f>questionnaire!A494</f>
        <v/>
      </c>
      <c r="B494" s="9" t="str">
        <f>questionnaire!B494</f>
        <v/>
      </c>
      <c r="C494" s="9" t="str">
        <f>questionnaire!C494</f>
        <v/>
      </c>
      <c r="D494" s="9" t="str">
        <f>questionnaire!D494</f>
        <v/>
      </c>
      <c r="E494" s="9" t="str">
        <f>questionnaire!E494</f>
        <v/>
      </c>
      <c r="F494" s="9">
        <f>8-questionnaire!F494</f>
        <v>8</v>
      </c>
      <c r="G494" s="9">
        <f>8-questionnaire!G494</f>
        <v>8</v>
      </c>
      <c r="H494" s="9">
        <f>8-questionnaire!H494</f>
        <v>8</v>
      </c>
      <c r="I494" s="9">
        <f>C494*10+D494*5+E494*1.66-(questionnaire!F494*1.66+questionnaire!G494*5+questionnaire!H494*10)</f>
        <v>0</v>
      </c>
    </row>
    <row r="495">
      <c r="A495" s="8" t="str">
        <f>questionnaire!A495</f>
        <v/>
      </c>
      <c r="B495" s="9" t="str">
        <f>questionnaire!B495</f>
        <v/>
      </c>
      <c r="C495" s="9" t="str">
        <f>questionnaire!C495</f>
        <v/>
      </c>
      <c r="D495" s="9" t="str">
        <f>questionnaire!D495</f>
        <v/>
      </c>
      <c r="E495" s="9" t="str">
        <f>questionnaire!E495</f>
        <v/>
      </c>
      <c r="F495" s="9">
        <f>8-questionnaire!F495</f>
        <v>8</v>
      </c>
      <c r="G495" s="9">
        <f>8-questionnaire!G495</f>
        <v>8</v>
      </c>
      <c r="H495" s="9">
        <f>8-questionnaire!H495</f>
        <v>8</v>
      </c>
      <c r="I495" s="9">
        <f>C495*10+D495*5+E495*1.66-(questionnaire!F495*1.66+questionnaire!G495*5+questionnaire!H495*10)</f>
        <v>0</v>
      </c>
    </row>
    <row r="496">
      <c r="A496" s="8" t="str">
        <f>questionnaire!A496</f>
        <v/>
      </c>
      <c r="B496" s="9" t="str">
        <f>questionnaire!B496</f>
        <v/>
      </c>
      <c r="C496" s="9" t="str">
        <f>questionnaire!C496</f>
        <v/>
      </c>
      <c r="D496" s="9" t="str">
        <f>questionnaire!D496</f>
        <v/>
      </c>
      <c r="E496" s="9" t="str">
        <f>questionnaire!E496</f>
        <v/>
      </c>
      <c r="F496" s="9">
        <f>8-questionnaire!F496</f>
        <v>8</v>
      </c>
      <c r="G496" s="9">
        <f>8-questionnaire!G496</f>
        <v>8</v>
      </c>
      <c r="H496" s="9">
        <f>8-questionnaire!H496</f>
        <v>8</v>
      </c>
      <c r="I496" s="9">
        <f>C496*10+D496*5+E496*1.66-(questionnaire!F496*1.66+questionnaire!G496*5+questionnaire!H496*10)</f>
        <v>0</v>
      </c>
    </row>
    <row r="497">
      <c r="A497" s="8" t="str">
        <f>questionnaire!A497</f>
        <v/>
      </c>
      <c r="B497" s="9" t="str">
        <f>questionnaire!B497</f>
        <v/>
      </c>
      <c r="C497" s="9" t="str">
        <f>questionnaire!C497</f>
        <v/>
      </c>
      <c r="D497" s="9" t="str">
        <f>questionnaire!D497</f>
        <v/>
      </c>
      <c r="E497" s="9" t="str">
        <f>questionnaire!E497</f>
        <v/>
      </c>
      <c r="F497" s="9">
        <f>8-questionnaire!F497</f>
        <v>8</v>
      </c>
      <c r="G497" s="9">
        <f>8-questionnaire!G497</f>
        <v>8</v>
      </c>
      <c r="H497" s="9">
        <f>8-questionnaire!H497</f>
        <v>8</v>
      </c>
      <c r="I497" s="9">
        <f>C497*10+D497*5+E497*1.66-(questionnaire!F497*1.66+questionnaire!G497*5+questionnaire!H497*10)</f>
        <v>0</v>
      </c>
    </row>
    <row r="498">
      <c r="A498" s="8" t="str">
        <f>questionnaire!A498</f>
        <v/>
      </c>
      <c r="B498" s="9" t="str">
        <f>questionnaire!B498</f>
        <v/>
      </c>
      <c r="C498" s="9" t="str">
        <f>questionnaire!C498</f>
        <v/>
      </c>
      <c r="D498" s="9" t="str">
        <f>questionnaire!D498</f>
        <v/>
      </c>
      <c r="E498" s="9" t="str">
        <f>questionnaire!E498</f>
        <v/>
      </c>
      <c r="F498" s="9">
        <f>8-questionnaire!F498</f>
        <v>8</v>
      </c>
      <c r="G498" s="9">
        <f>8-questionnaire!G498</f>
        <v>8</v>
      </c>
      <c r="H498" s="9">
        <f>8-questionnaire!H498</f>
        <v>8</v>
      </c>
      <c r="I498" s="9">
        <f>C498*10+D498*5+E498*1.66-(questionnaire!F498*1.66+questionnaire!G498*5+questionnaire!H498*10)</f>
        <v>0</v>
      </c>
    </row>
    <row r="499">
      <c r="A499" s="8" t="str">
        <f>questionnaire!A499</f>
        <v/>
      </c>
      <c r="B499" s="9" t="str">
        <f>questionnaire!B499</f>
        <v/>
      </c>
      <c r="C499" s="9" t="str">
        <f>questionnaire!C499</f>
        <v/>
      </c>
      <c r="D499" s="9" t="str">
        <f>questionnaire!D499</f>
        <v/>
      </c>
      <c r="E499" s="9" t="str">
        <f>questionnaire!E499</f>
        <v/>
      </c>
      <c r="F499" s="9">
        <f>8-questionnaire!F499</f>
        <v>8</v>
      </c>
      <c r="G499" s="9">
        <f>8-questionnaire!G499</f>
        <v>8</v>
      </c>
      <c r="H499" s="9">
        <f>8-questionnaire!H499</f>
        <v>8</v>
      </c>
      <c r="I499" s="9">
        <f>C499*10+D499*5+E499*1.66-(questionnaire!F499*1.66+questionnaire!G499*5+questionnaire!H499*10)</f>
        <v>0</v>
      </c>
    </row>
    <row r="500">
      <c r="A500" s="8" t="str">
        <f>questionnaire!A500</f>
        <v/>
      </c>
      <c r="B500" s="9" t="str">
        <f>questionnaire!B500</f>
        <v/>
      </c>
      <c r="C500" s="9" t="str">
        <f>questionnaire!C500</f>
        <v/>
      </c>
      <c r="D500" s="9" t="str">
        <f>questionnaire!D500</f>
        <v/>
      </c>
      <c r="E500" s="9" t="str">
        <f>questionnaire!E500</f>
        <v/>
      </c>
      <c r="F500" s="9">
        <f>8-questionnaire!F500</f>
        <v>8</v>
      </c>
      <c r="G500" s="9">
        <f>8-questionnaire!G500</f>
        <v>8</v>
      </c>
      <c r="H500" s="9">
        <f>8-questionnaire!H500</f>
        <v>8</v>
      </c>
      <c r="I500" s="9">
        <f>C500*10+D500*5+E500*1.66-(questionnaire!F500*1.66+questionnaire!G500*5+questionnaire!H500*10)</f>
        <v>0</v>
      </c>
    </row>
    <row r="501">
      <c r="A501" s="8" t="str">
        <f>questionnaire!A501</f>
        <v/>
      </c>
      <c r="B501" s="9" t="str">
        <f>questionnaire!B501</f>
        <v/>
      </c>
      <c r="C501" s="9" t="str">
        <f>questionnaire!C501</f>
        <v/>
      </c>
      <c r="D501" s="9" t="str">
        <f>questionnaire!D501</f>
        <v/>
      </c>
      <c r="E501" s="9" t="str">
        <f>questionnaire!E501</f>
        <v/>
      </c>
      <c r="F501" s="9">
        <f>8-questionnaire!F501</f>
        <v>8</v>
      </c>
      <c r="G501" s="9">
        <f>8-questionnaire!G501</f>
        <v>8</v>
      </c>
      <c r="H501" s="9">
        <f>8-questionnaire!H501</f>
        <v>8</v>
      </c>
      <c r="I501" s="9">
        <f>C501*10+D501*5+E501*1.66-(questionnaire!F501*1.66+questionnaire!G501*5+questionnaire!H501*10)</f>
        <v>0</v>
      </c>
    </row>
    <row r="502">
      <c r="A502" s="8" t="str">
        <f>questionnaire!A502</f>
        <v/>
      </c>
      <c r="B502" s="9" t="str">
        <f>questionnaire!B502</f>
        <v/>
      </c>
      <c r="C502" s="9" t="str">
        <f>questionnaire!C502</f>
        <v/>
      </c>
      <c r="D502" s="9" t="str">
        <f>questionnaire!D502</f>
        <v/>
      </c>
      <c r="E502" s="9" t="str">
        <f>questionnaire!E502</f>
        <v/>
      </c>
      <c r="F502" s="9">
        <f>8-questionnaire!F502</f>
        <v>8</v>
      </c>
      <c r="G502" s="9">
        <f>8-questionnaire!G502</f>
        <v>8</v>
      </c>
      <c r="H502" s="9">
        <f>8-questionnaire!H502</f>
        <v>8</v>
      </c>
      <c r="I502" s="9">
        <f>C502*10+D502*5+E502*1.66-(questionnaire!F502*1.66+questionnaire!G502*5+questionnaire!H502*10)</f>
        <v>0</v>
      </c>
    </row>
    <row r="503">
      <c r="A503" s="8" t="str">
        <f>questionnaire!A503</f>
        <v/>
      </c>
      <c r="B503" s="9" t="str">
        <f>questionnaire!B503</f>
        <v/>
      </c>
      <c r="C503" s="9" t="str">
        <f>questionnaire!C503</f>
        <v/>
      </c>
      <c r="D503" s="9" t="str">
        <f>questionnaire!D503</f>
        <v/>
      </c>
      <c r="E503" s="9" t="str">
        <f>questionnaire!E503</f>
        <v/>
      </c>
      <c r="F503" s="9">
        <f>8-questionnaire!F503</f>
        <v>8</v>
      </c>
      <c r="G503" s="9">
        <f>8-questionnaire!G503</f>
        <v>8</v>
      </c>
      <c r="H503" s="9">
        <f>8-questionnaire!H503</f>
        <v>8</v>
      </c>
      <c r="I503" s="9">
        <f>C503*10+D503*5+E503*1.66-(questionnaire!F503*1.66+questionnaire!G503*5+questionnaire!H503*10)</f>
        <v>0</v>
      </c>
    </row>
    <row r="504">
      <c r="A504" s="8" t="str">
        <f>questionnaire!A504</f>
        <v/>
      </c>
      <c r="B504" s="9" t="str">
        <f>questionnaire!B504</f>
        <v/>
      </c>
      <c r="C504" s="9" t="str">
        <f>questionnaire!C504</f>
        <v/>
      </c>
      <c r="D504" s="9" t="str">
        <f>questionnaire!D504</f>
        <v/>
      </c>
      <c r="E504" s="9" t="str">
        <f>questionnaire!E504</f>
        <v/>
      </c>
      <c r="F504" s="9">
        <f>8-questionnaire!F504</f>
        <v>8</v>
      </c>
      <c r="G504" s="9">
        <f>8-questionnaire!G504</f>
        <v>8</v>
      </c>
      <c r="H504" s="9">
        <f>8-questionnaire!H504</f>
        <v>8</v>
      </c>
      <c r="I504" s="9">
        <f>C504*10+D504*5+E504*1.66-(questionnaire!F504*1.66+questionnaire!G504*5+questionnaire!H504*10)</f>
        <v>0</v>
      </c>
    </row>
    <row r="505">
      <c r="A505" s="8" t="str">
        <f>questionnaire!A505</f>
        <v/>
      </c>
      <c r="B505" s="9" t="str">
        <f>questionnaire!B505</f>
        <v/>
      </c>
      <c r="C505" s="9" t="str">
        <f>questionnaire!C505</f>
        <v/>
      </c>
      <c r="D505" s="9" t="str">
        <f>questionnaire!D505</f>
        <v/>
      </c>
      <c r="E505" s="9" t="str">
        <f>questionnaire!E505</f>
        <v/>
      </c>
      <c r="F505" s="9">
        <f>8-questionnaire!F505</f>
        <v>8</v>
      </c>
      <c r="G505" s="9">
        <f>8-questionnaire!G505</f>
        <v>8</v>
      </c>
      <c r="H505" s="9">
        <f>8-questionnaire!H505</f>
        <v>8</v>
      </c>
      <c r="I505" s="9">
        <f>C505*10+D505*5+E505*1.66-(questionnaire!F505*1.66+questionnaire!G505*5+questionnaire!H505*10)</f>
        <v>0</v>
      </c>
    </row>
    <row r="506">
      <c r="A506" s="8" t="str">
        <f>questionnaire!A506</f>
        <v/>
      </c>
      <c r="B506" s="9" t="str">
        <f>questionnaire!B506</f>
        <v/>
      </c>
      <c r="C506" s="9" t="str">
        <f>questionnaire!C506</f>
        <v/>
      </c>
      <c r="D506" s="9" t="str">
        <f>questionnaire!D506</f>
        <v/>
      </c>
      <c r="E506" s="9" t="str">
        <f>questionnaire!E506</f>
        <v/>
      </c>
      <c r="F506" s="9">
        <f>8-questionnaire!F506</f>
        <v>8</v>
      </c>
      <c r="G506" s="9">
        <f>8-questionnaire!G506</f>
        <v>8</v>
      </c>
      <c r="H506" s="9">
        <f>8-questionnaire!H506</f>
        <v>8</v>
      </c>
      <c r="I506" s="9">
        <f>C506*10+D506*5+E506*1.66-(questionnaire!F506*1.66+questionnaire!G506*5+questionnaire!H506*10)</f>
        <v>0</v>
      </c>
    </row>
    <row r="507">
      <c r="A507" s="8" t="str">
        <f>questionnaire!A507</f>
        <v/>
      </c>
      <c r="B507" s="9" t="str">
        <f>questionnaire!B507</f>
        <v/>
      </c>
      <c r="C507" s="9" t="str">
        <f>questionnaire!C507</f>
        <v/>
      </c>
      <c r="D507" s="9" t="str">
        <f>questionnaire!D507</f>
        <v/>
      </c>
      <c r="E507" s="9" t="str">
        <f>questionnaire!E507</f>
        <v/>
      </c>
      <c r="F507" s="9">
        <f>8-questionnaire!F507</f>
        <v>8</v>
      </c>
      <c r="G507" s="9">
        <f>8-questionnaire!G507</f>
        <v>8</v>
      </c>
      <c r="H507" s="9">
        <f>8-questionnaire!H507</f>
        <v>8</v>
      </c>
      <c r="I507" s="9">
        <f>C507*10+D507*5+E507*1.66-(questionnaire!F507*1.66+questionnaire!G507*5+questionnaire!H507*10)</f>
        <v>0</v>
      </c>
    </row>
    <row r="508">
      <c r="A508" s="8" t="str">
        <f>questionnaire!A508</f>
        <v/>
      </c>
      <c r="B508" s="9" t="str">
        <f>questionnaire!B508</f>
        <v/>
      </c>
      <c r="C508" s="9" t="str">
        <f>questionnaire!C508</f>
        <v/>
      </c>
      <c r="D508" s="9" t="str">
        <f>questionnaire!D508</f>
        <v/>
      </c>
      <c r="E508" s="9" t="str">
        <f>questionnaire!E508</f>
        <v/>
      </c>
      <c r="F508" s="9">
        <f>8-questionnaire!F508</f>
        <v>8</v>
      </c>
      <c r="G508" s="9">
        <f>8-questionnaire!G508</f>
        <v>8</v>
      </c>
      <c r="H508" s="9">
        <f>8-questionnaire!H508</f>
        <v>8</v>
      </c>
      <c r="I508" s="9">
        <f>C508*10+D508*5+E508*1.66-(questionnaire!F508*1.66+questionnaire!G508*5+questionnaire!H508*10)</f>
        <v>0</v>
      </c>
    </row>
    <row r="509">
      <c r="A509" s="8" t="str">
        <f>questionnaire!A509</f>
        <v/>
      </c>
      <c r="B509" s="9" t="str">
        <f>questionnaire!B509</f>
        <v/>
      </c>
      <c r="C509" s="9" t="str">
        <f>questionnaire!C509</f>
        <v/>
      </c>
      <c r="D509" s="9" t="str">
        <f>questionnaire!D509</f>
        <v/>
      </c>
      <c r="E509" s="9" t="str">
        <f>questionnaire!E509</f>
        <v/>
      </c>
      <c r="F509" s="9">
        <f>8-questionnaire!F509</f>
        <v>8</v>
      </c>
      <c r="G509" s="9">
        <f>8-questionnaire!G509</f>
        <v>8</v>
      </c>
      <c r="H509" s="9">
        <f>8-questionnaire!H509</f>
        <v>8</v>
      </c>
      <c r="I509" s="9">
        <f>C509*10+D509*5+E509*1.66-(questionnaire!F509*1.66+questionnaire!G509*5+questionnaire!H509*10)</f>
        <v>0</v>
      </c>
    </row>
    <row r="510">
      <c r="A510" s="8" t="str">
        <f>questionnaire!A510</f>
        <v/>
      </c>
      <c r="B510" s="9" t="str">
        <f>questionnaire!B510</f>
        <v/>
      </c>
      <c r="C510" s="9" t="str">
        <f>questionnaire!C510</f>
        <v/>
      </c>
      <c r="D510" s="9" t="str">
        <f>questionnaire!D510</f>
        <v/>
      </c>
      <c r="E510" s="9" t="str">
        <f>questionnaire!E510</f>
        <v/>
      </c>
      <c r="F510" s="9">
        <f>8-questionnaire!F510</f>
        <v>8</v>
      </c>
      <c r="G510" s="9">
        <f>8-questionnaire!G510</f>
        <v>8</v>
      </c>
      <c r="H510" s="9">
        <f>8-questionnaire!H510</f>
        <v>8</v>
      </c>
      <c r="I510" s="9">
        <f>C510*10+D510*5+E510*1.66-(questionnaire!F510*1.66+questionnaire!G510*5+questionnaire!H510*10)</f>
        <v>0</v>
      </c>
    </row>
    <row r="511">
      <c r="A511" s="8" t="str">
        <f>questionnaire!A511</f>
        <v/>
      </c>
      <c r="B511" s="9" t="str">
        <f>questionnaire!B511</f>
        <v/>
      </c>
      <c r="C511" s="9" t="str">
        <f>questionnaire!C511</f>
        <v/>
      </c>
      <c r="D511" s="9" t="str">
        <f>questionnaire!D511</f>
        <v/>
      </c>
      <c r="E511" s="9" t="str">
        <f>questionnaire!E511</f>
        <v/>
      </c>
      <c r="F511" s="9">
        <f>8-questionnaire!F511</f>
        <v>8</v>
      </c>
      <c r="G511" s="9">
        <f>8-questionnaire!G511</f>
        <v>8</v>
      </c>
      <c r="H511" s="9">
        <f>8-questionnaire!H511</f>
        <v>8</v>
      </c>
      <c r="I511" s="9">
        <f>C511*10+D511*5+E511*1.66-(questionnaire!F511*1.66+questionnaire!G511*5+questionnaire!H511*10)</f>
        <v>0</v>
      </c>
    </row>
    <row r="512">
      <c r="A512" s="8" t="str">
        <f>questionnaire!A512</f>
        <v/>
      </c>
      <c r="B512" s="9" t="str">
        <f>questionnaire!B512</f>
        <v/>
      </c>
      <c r="C512" s="9" t="str">
        <f>questionnaire!C512</f>
        <v/>
      </c>
      <c r="D512" s="9" t="str">
        <f>questionnaire!D512</f>
        <v/>
      </c>
      <c r="E512" s="9" t="str">
        <f>questionnaire!E512</f>
        <v/>
      </c>
      <c r="F512" s="9">
        <f>8-questionnaire!F512</f>
        <v>8</v>
      </c>
      <c r="G512" s="9">
        <f>8-questionnaire!G512</f>
        <v>8</v>
      </c>
      <c r="H512" s="9">
        <f>8-questionnaire!H512</f>
        <v>8</v>
      </c>
      <c r="I512" s="9">
        <f>C512*10+D512*5+E512*1.66-(questionnaire!F512*1.66+questionnaire!G512*5+questionnaire!H512*10)</f>
        <v>0</v>
      </c>
    </row>
    <row r="513">
      <c r="A513" s="8" t="str">
        <f>questionnaire!A513</f>
        <v/>
      </c>
      <c r="B513" s="9" t="str">
        <f>questionnaire!B513</f>
        <v/>
      </c>
      <c r="C513" s="9" t="str">
        <f>questionnaire!C513</f>
        <v/>
      </c>
      <c r="D513" s="9" t="str">
        <f>questionnaire!D513</f>
        <v/>
      </c>
      <c r="E513" s="9" t="str">
        <f>questionnaire!E513</f>
        <v/>
      </c>
      <c r="F513" s="9">
        <f>8-questionnaire!F513</f>
        <v>8</v>
      </c>
      <c r="G513" s="9">
        <f>8-questionnaire!G513</f>
        <v>8</v>
      </c>
      <c r="H513" s="9">
        <f>8-questionnaire!H513</f>
        <v>8</v>
      </c>
      <c r="I513" s="9">
        <f>C513*10+D513*5+E513*1.66-(questionnaire!F513*1.66+questionnaire!G513*5+questionnaire!H513*10)</f>
        <v>0</v>
      </c>
    </row>
    <row r="514">
      <c r="A514" s="8" t="str">
        <f>questionnaire!A514</f>
        <v/>
      </c>
      <c r="B514" s="9" t="str">
        <f>questionnaire!B514</f>
        <v/>
      </c>
      <c r="C514" s="9" t="str">
        <f>questionnaire!C514</f>
        <v/>
      </c>
      <c r="D514" s="9" t="str">
        <f>questionnaire!D514</f>
        <v/>
      </c>
      <c r="E514" s="9" t="str">
        <f>questionnaire!E514</f>
        <v/>
      </c>
      <c r="F514" s="9">
        <f>8-questionnaire!F514</f>
        <v>8</v>
      </c>
      <c r="G514" s="9">
        <f>8-questionnaire!G514</f>
        <v>8</v>
      </c>
      <c r="H514" s="9">
        <f>8-questionnaire!H514</f>
        <v>8</v>
      </c>
      <c r="I514" s="9">
        <f>C514*10+D514*5+E514*1.66-(questionnaire!F514*1.66+questionnaire!G514*5+questionnaire!H514*10)</f>
        <v>0</v>
      </c>
    </row>
    <row r="515">
      <c r="A515" s="8" t="str">
        <f>questionnaire!A515</f>
        <v/>
      </c>
      <c r="B515" s="9" t="str">
        <f>questionnaire!B515</f>
        <v/>
      </c>
      <c r="C515" s="9" t="str">
        <f>questionnaire!C515</f>
        <v/>
      </c>
      <c r="D515" s="9" t="str">
        <f>questionnaire!D515</f>
        <v/>
      </c>
      <c r="E515" s="9" t="str">
        <f>questionnaire!E515</f>
        <v/>
      </c>
      <c r="F515" s="9">
        <f>8-questionnaire!F515</f>
        <v>8</v>
      </c>
      <c r="G515" s="9">
        <f>8-questionnaire!G515</f>
        <v>8</v>
      </c>
      <c r="H515" s="9">
        <f>8-questionnaire!H515</f>
        <v>8</v>
      </c>
      <c r="I515" s="9">
        <f>C515*10+D515*5+E515*1.66-(questionnaire!F515*1.66+questionnaire!G515*5+questionnaire!H515*10)</f>
        <v>0</v>
      </c>
    </row>
    <row r="516">
      <c r="A516" s="8" t="str">
        <f>questionnaire!A516</f>
        <v/>
      </c>
      <c r="B516" s="9" t="str">
        <f>questionnaire!B516</f>
        <v/>
      </c>
      <c r="C516" s="9" t="str">
        <f>questionnaire!C516</f>
        <v/>
      </c>
      <c r="D516" s="9" t="str">
        <f>questionnaire!D516</f>
        <v/>
      </c>
      <c r="E516" s="9" t="str">
        <f>questionnaire!E516</f>
        <v/>
      </c>
      <c r="F516" s="9">
        <f>8-questionnaire!F516</f>
        <v>8</v>
      </c>
      <c r="G516" s="9">
        <f>8-questionnaire!G516</f>
        <v>8</v>
      </c>
      <c r="H516" s="9">
        <f>8-questionnaire!H516</f>
        <v>8</v>
      </c>
      <c r="I516" s="9">
        <f>C516*10+D516*5+E516*1.66-(questionnaire!F516*1.66+questionnaire!G516*5+questionnaire!H516*10)</f>
        <v>0</v>
      </c>
    </row>
    <row r="517">
      <c r="A517" s="8" t="str">
        <f>questionnaire!A517</f>
        <v/>
      </c>
      <c r="B517" s="9" t="str">
        <f>questionnaire!B517</f>
        <v/>
      </c>
      <c r="C517" s="9" t="str">
        <f>questionnaire!C517</f>
        <v/>
      </c>
      <c r="D517" s="9" t="str">
        <f>questionnaire!D517</f>
        <v/>
      </c>
      <c r="E517" s="9" t="str">
        <f>questionnaire!E517</f>
        <v/>
      </c>
      <c r="F517" s="9">
        <f>8-questionnaire!F517</f>
        <v>8</v>
      </c>
      <c r="G517" s="9">
        <f>8-questionnaire!G517</f>
        <v>8</v>
      </c>
      <c r="H517" s="9">
        <f>8-questionnaire!H517</f>
        <v>8</v>
      </c>
      <c r="I517" s="9">
        <f>C517*10+D517*5+E517*1.66-(questionnaire!F517*1.66+questionnaire!G517*5+questionnaire!H517*10)</f>
        <v>0</v>
      </c>
    </row>
    <row r="518">
      <c r="A518" s="8" t="str">
        <f>questionnaire!A518</f>
        <v/>
      </c>
      <c r="B518" s="9" t="str">
        <f>questionnaire!B518</f>
        <v/>
      </c>
      <c r="C518" s="9" t="str">
        <f>questionnaire!C518</f>
        <v/>
      </c>
      <c r="D518" s="9" t="str">
        <f>questionnaire!D518</f>
        <v/>
      </c>
      <c r="E518" s="9" t="str">
        <f>questionnaire!E518</f>
        <v/>
      </c>
      <c r="F518" s="9">
        <f>8-questionnaire!F518</f>
        <v>8</v>
      </c>
      <c r="G518" s="9">
        <f>8-questionnaire!G518</f>
        <v>8</v>
      </c>
      <c r="H518" s="9">
        <f>8-questionnaire!H518</f>
        <v>8</v>
      </c>
      <c r="I518" s="9">
        <f>C518*10+D518*5+E518*1.66-(questionnaire!F518*1.66+questionnaire!G518*5+questionnaire!H518*10)</f>
        <v>0</v>
      </c>
    </row>
    <row r="519">
      <c r="A519" s="8" t="str">
        <f>questionnaire!A519</f>
        <v/>
      </c>
      <c r="B519" s="9" t="str">
        <f>questionnaire!B519</f>
        <v/>
      </c>
      <c r="C519" s="9" t="str">
        <f>questionnaire!C519</f>
        <v/>
      </c>
      <c r="D519" s="9" t="str">
        <f>questionnaire!D519</f>
        <v/>
      </c>
      <c r="E519" s="9" t="str">
        <f>questionnaire!E519</f>
        <v/>
      </c>
      <c r="F519" s="9">
        <f>8-questionnaire!F519</f>
        <v>8</v>
      </c>
      <c r="G519" s="9">
        <f>8-questionnaire!G519</f>
        <v>8</v>
      </c>
      <c r="H519" s="9">
        <f>8-questionnaire!H519</f>
        <v>8</v>
      </c>
      <c r="I519" s="9">
        <f>C519*10+D519*5+E519*1.66-(questionnaire!F519*1.66+questionnaire!G519*5+questionnaire!H519*10)</f>
        <v>0</v>
      </c>
    </row>
    <row r="520">
      <c r="A520" s="8" t="str">
        <f>questionnaire!A520</f>
        <v/>
      </c>
      <c r="B520" s="9" t="str">
        <f>questionnaire!B520</f>
        <v/>
      </c>
      <c r="C520" s="9" t="str">
        <f>questionnaire!C520</f>
        <v/>
      </c>
      <c r="D520" s="9" t="str">
        <f>questionnaire!D520</f>
        <v/>
      </c>
      <c r="E520" s="9" t="str">
        <f>questionnaire!E520</f>
        <v/>
      </c>
      <c r="F520" s="9">
        <f>8-questionnaire!F520</f>
        <v>8</v>
      </c>
      <c r="G520" s="9">
        <f>8-questionnaire!G520</f>
        <v>8</v>
      </c>
      <c r="H520" s="9">
        <f>8-questionnaire!H520</f>
        <v>8</v>
      </c>
      <c r="I520" s="9">
        <f>C520*10+D520*5+E520*1.66-(questionnaire!F520*1.66+questionnaire!G520*5+questionnaire!H520*10)</f>
        <v>0</v>
      </c>
    </row>
    <row r="521">
      <c r="A521" s="8" t="str">
        <f>questionnaire!A521</f>
        <v/>
      </c>
      <c r="B521" s="9" t="str">
        <f>questionnaire!B521</f>
        <v/>
      </c>
      <c r="C521" s="9" t="str">
        <f>questionnaire!C521</f>
        <v/>
      </c>
      <c r="D521" s="9" t="str">
        <f>questionnaire!D521</f>
        <v/>
      </c>
      <c r="E521" s="9" t="str">
        <f>questionnaire!E521</f>
        <v/>
      </c>
      <c r="F521" s="9">
        <f>8-questionnaire!F521</f>
        <v>8</v>
      </c>
      <c r="G521" s="9">
        <f>8-questionnaire!G521</f>
        <v>8</v>
      </c>
      <c r="H521" s="9">
        <f>8-questionnaire!H521</f>
        <v>8</v>
      </c>
      <c r="I521" s="9">
        <f>C521*10+D521*5+E521*1.66-(questionnaire!F521*1.66+questionnaire!G521*5+questionnaire!H521*10)</f>
        <v>0</v>
      </c>
    </row>
    <row r="522">
      <c r="A522" s="8" t="str">
        <f>questionnaire!A522</f>
        <v/>
      </c>
      <c r="B522" s="9" t="str">
        <f>questionnaire!B522</f>
        <v/>
      </c>
      <c r="C522" s="9" t="str">
        <f>questionnaire!C522</f>
        <v/>
      </c>
      <c r="D522" s="9" t="str">
        <f>questionnaire!D522</f>
        <v/>
      </c>
      <c r="E522" s="9" t="str">
        <f>questionnaire!E522</f>
        <v/>
      </c>
      <c r="F522" s="9">
        <f>8-questionnaire!F522</f>
        <v>8</v>
      </c>
      <c r="G522" s="9">
        <f>8-questionnaire!G522</f>
        <v>8</v>
      </c>
      <c r="H522" s="9">
        <f>8-questionnaire!H522</f>
        <v>8</v>
      </c>
      <c r="I522" s="9">
        <f>C522*10+D522*5+E522*1.66-(questionnaire!F522*1.66+questionnaire!G522*5+questionnaire!H522*10)</f>
        <v>0</v>
      </c>
    </row>
    <row r="523">
      <c r="A523" s="8" t="str">
        <f>questionnaire!A523</f>
        <v/>
      </c>
      <c r="B523" s="9" t="str">
        <f>questionnaire!B523</f>
        <v/>
      </c>
      <c r="C523" s="9" t="str">
        <f>questionnaire!C523</f>
        <v/>
      </c>
      <c r="D523" s="9" t="str">
        <f>questionnaire!D523</f>
        <v/>
      </c>
      <c r="E523" s="9" t="str">
        <f>questionnaire!E523</f>
        <v/>
      </c>
      <c r="F523" s="9">
        <f>8-questionnaire!F523</f>
        <v>8</v>
      </c>
      <c r="G523" s="9">
        <f>8-questionnaire!G523</f>
        <v>8</v>
      </c>
      <c r="H523" s="9">
        <f>8-questionnaire!H523</f>
        <v>8</v>
      </c>
      <c r="I523" s="9">
        <f>C523*10+D523*5+E523*1.66-(questionnaire!F523*1.66+questionnaire!G523*5+questionnaire!H523*10)</f>
        <v>0</v>
      </c>
    </row>
    <row r="524">
      <c r="A524" s="8" t="str">
        <f>questionnaire!A524</f>
        <v/>
      </c>
      <c r="B524" s="9" t="str">
        <f>questionnaire!B524</f>
        <v/>
      </c>
      <c r="C524" s="9" t="str">
        <f>questionnaire!C524</f>
        <v/>
      </c>
      <c r="D524" s="9" t="str">
        <f>questionnaire!D524</f>
        <v/>
      </c>
      <c r="E524" s="9" t="str">
        <f>questionnaire!E524</f>
        <v/>
      </c>
      <c r="F524" s="9">
        <f>8-questionnaire!F524</f>
        <v>8</v>
      </c>
      <c r="G524" s="9">
        <f>8-questionnaire!G524</f>
        <v>8</v>
      </c>
      <c r="H524" s="9">
        <f>8-questionnaire!H524</f>
        <v>8</v>
      </c>
      <c r="I524" s="9">
        <f>C524*10+D524*5+E524*1.66-(questionnaire!F524*1.66+questionnaire!G524*5+questionnaire!H524*10)</f>
        <v>0</v>
      </c>
    </row>
    <row r="525">
      <c r="A525" s="8" t="str">
        <f>questionnaire!A525</f>
        <v/>
      </c>
      <c r="B525" s="9" t="str">
        <f>questionnaire!B525</f>
        <v/>
      </c>
      <c r="C525" s="9" t="str">
        <f>questionnaire!C525</f>
        <v/>
      </c>
      <c r="D525" s="9" t="str">
        <f>questionnaire!D525</f>
        <v/>
      </c>
      <c r="E525" s="9" t="str">
        <f>questionnaire!E525</f>
        <v/>
      </c>
      <c r="F525" s="9">
        <f>8-questionnaire!F525</f>
        <v>8</v>
      </c>
      <c r="G525" s="9">
        <f>8-questionnaire!G525</f>
        <v>8</v>
      </c>
      <c r="H525" s="9">
        <f>8-questionnaire!H525</f>
        <v>8</v>
      </c>
      <c r="I525" s="9">
        <f>C525*10+D525*5+E525*1.66-(questionnaire!F525*1.66+questionnaire!G525*5+questionnaire!H525*10)</f>
        <v>0</v>
      </c>
    </row>
    <row r="526">
      <c r="A526" s="8" t="str">
        <f>questionnaire!A526</f>
        <v/>
      </c>
      <c r="B526" s="9" t="str">
        <f>questionnaire!B526</f>
        <v/>
      </c>
      <c r="C526" s="9" t="str">
        <f>questionnaire!C526</f>
        <v/>
      </c>
      <c r="D526" s="9" t="str">
        <f>questionnaire!D526</f>
        <v/>
      </c>
      <c r="E526" s="9" t="str">
        <f>questionnaire!E526</f>
        <v/>
      </c>
      <c r="F526" s="9">
        <f>8-questionnaire!F526</f>
        <v>8</v>
      </c>
      <c r="G526" s="9">
        <f>8-questionnaire!G526</f>
        <v>8</v>
      </c>
      <c r="H526" s="9">
        <f>8-questionnaire!H526</f>
        <v>8</v>
      </c>
      <c r="I526" s="9">
        <f>C526*10+D526*5+E526*1.66-(questionnaire!F526*1.66+questionnaire!G526*5+questionnaire!H526*10)</f>
        <v>0</v>
      </c>
    </row>
    <row r="527">
      <c r="A527" s="8" t="str">
        <f>questionnaire!A527</f>
        <v/>
      </c>
      <c r="B527" s="9" t="str">
        <f>questionnaire!B527</f>
        <v/>
      </c>
      <c r="C527" s="9" t="str">
        <f>questionnaire!C527</f>
        <v/>
      </c>
      <c r="D527" s="9" t="str">
        <f>questionnaire!D527</f>
        <v/>
      </c>
      <c r="E527" s="9" t="str">
        <f>questionnaire!E527</f>
        <v/>
      </c>
      <c r="F527" s="9">
        <f>8-questionnaire!F527</f>
        <v>8</v>
      </c>
      <c r="G527" s="9">
        <f>8-questionnaire!G527</f>
        <v>8</v>
      </c>
      <c r="H527" s="9">
        <f>8-questionnaire!H527</f>
        <v>8</v>
      </c>
      <c r="I527" s="9">
        <f>C527*10+D527*5+E527*1.66-(questionnaire!F527*1.66+questionnaire!G527*5+questionnaire!H527*10)</f>
        <v>0</v>
      </c>
    </row>
    <row r="528">
      <c r="A528" s="8" t="str">
        <f>questionnaire!A528</f>
        <v/>
      </c>
      <c r="B528" s="9" t="str">
        <f>questionnaire!B528</f>
        <v/>
      </c>
      <c r="C528" s="9" t="str">
        <f>questionnaire!C528</f>
        <v/>
      </c>
      <c r="D528" s="9" t="str">
        <f>questionnaire!D528</f>
        <v/>
      </c>
      <c r="E528" s="9" t="str">
        <f>questionnaire!E528</f>
        <v/>
      </c>
      <c r="F528" s="9">
        <f>8-questionnaire!F528</f>
        <v>8</v>
      </c>
      <c r="G528" s="9">
        <f>8-questionnaire!G528</f>
        <v>8</v>
      </c>
      <c r="H528" s="9">
        <f>8-questionnaire!H528</f>
        <v>8</v>
      </c>
      <c r="I528" s="9">
        <f>C528*10+D528*5+E528*1.66-(questionnaire!F528*1.66+questionnaire!G528*5+questionnaire!H528*10)</f>
        <v>0</v>
      </c>
    </row>
    <row r="529">
      <c r="A529" s="8" t="str">
        <f>questionnaire!A529</f>
        <v/>
      </c>
      <c r="B529" s="9" t="str">
        <f>questionnaire!B529</f>
        <v/>
      </c>
      <c r="C529" s="9" t="str">
        <f>questionnaire!C529</f>
        <v/>
      </c>
      <c r="D529" s="9" t="str">
        <f>questionnaire!D529</f>
        <v/>
      </c>
      <c r="E529" s="9" t="str">
        <f>questionnaire!E529</f>
        <v/>
      </c>
      <c r="F529" s="9">
        <f>8-questionnaire!F529</f>
        <v>8</v>
      </c>
      <c r="G529" s="9">
        <f>8-questionnaire!G529</f>
        <v>8</v>
      </c>
      <c r="H529" s="9">
        <f>8-questionnaire!H529</f>
        <v>8</v>
      </c>
      <c r="I529" s="9">
        <f>C529*10+D529*5+E529*1.66-(questionnaire!F529*1.66+questionnaire!G529*5+questionnaire!H529*10)</f>
        <v>0</v>
      </c>
    </row>
    <row r="530">
      <c r="A530" s="8" t="str">
        <f>questionnaire!A530</f>
        <v/>
      </c>
      <c r="B530" s="9" t="str">
        <f>questionnaire!B530</f>
        <v/>
      </c>
      <c r="C530" s="9" t="str">
        <f>questionnaire!C530</f>
        <v/>
      </c>
      <c r="D530" s="9" t="str">
        <f>questionnaire!D530</f>
        <v/>
      </c>
      <c r="E530" s="9" t="str">
        <f>questionnaire!E530</f>
        <v/>
      </c>
      <c r="F530" s="9">
        <f>8-questionnaire!F530</f>
        <v>8</v>
      </c>
      <c r="G530" s="9">
        <f>8-questionnaire!G530</f>
        <v>8</v>
      </c>
      <c r="H530" s="9">
        <f>8-questionnaire!H530</f>
        <v>8</v>
      </c>
      <c r="I530" s="9">
        <f>C530*10+D530*5+E530*1.66-(questionnaire!F530*1.66+questionnaire!G530*5+questionnaire!H530*10)</f>
        <v>0</v>
      </c>
    </row>
    <row r="531">
      <c r="A531" s="8" t="str">
        <f>questionnaire!A531</f>
        <v/>
      </c>
      <c r="B531" s="9" t="str">
        <f>questionnaire!B531</f>
        <v/>
      </c>
      <c r="C531" s="9" t="str">
        <f>questionnaire!C531</f>
        <v/>
      </c>
      <c r="D531" s="9" t="str">
        <f>questionnaire!D531</f>
        <v/>
      </c>
      <c r="E531" s="9" t="str">
        <f>questionnaire!E531</f>
        <v/>
      </c>
      <c r="F531" s="9">
        <f>8-questionnaire!F531</f>
        <v>8</v>
      </c>
      <c r="G531" s="9">
        <f>8-questionnaire!G531</f>
        <v>8</v>
      </c>
      <c r="H531" s="9">
        <f>8-questionnaire!H531</f>
        <v>8</v>
      </c>
      <c r="I531" s="9">
        <f>C531*10+D531*5+E531*1.66-(questionnaire!F531*1.66+questionnaire!G531*5+questionnaire!H531*10)</f>
        <v>0</v>
      </c>
    </row>
    <row r="532">
      <c r="A532" s="8" t="str">
        <f>questionnaire!A532</f>
        <v/>
      </c>
      <c r="B532" s="9" t="str">
        <f>questionnaire!B532</f>
        <v/>
      </c>
      <c r="C532" s="9" t="str">
        <f>questionnaire!C532</f>
        <v/>
      </c>
      <c r="D532" s="9" t="str">
        <f>questionnaire!D532</f>
        <v/>
      </c>
      <c r="E532" s="9" t="str">
        <f>questionnaire!E532</f>
        <v/>
      </c>
      <c r="F532" s="9">
        <f>8-questionnaire!F532</f>
        <v>8</v>
      </c>
      <c r="G532" s="9">
        <f>8-questionnaire!G532</f>
        <v>8</v>
      </c>
      <c r="H532" s="9">
        <f>8-questionnaire!H532</f>
        <v>8</v>
      </c>
      <c r="I532" s="9">
        <f>C532*10+D532*5+E532*1.66-(questionnaire!F532*1.66+questionnaire!G532*5+questionnaire!H532*10)</f>
        <v>0</v>
      </c>
    </row>
    <row r="533">
      <c r="A533" s="8" t="str">
        <f>questionnaire!A533</f>
        <v/>
      </c>
      <c r="B533" s="9" t="str">
        <f>questionnaire!B533</f>
        <v/>
      </c>
      <c r="C533" s="9" t="str">
        <f>questionnaire!C533</f>
        <v/>
      </c>
      <c r="D533" s="9" t="str">
        <f>questionnaire!D533</f>
        <v/>
      </c>
      <c r="E533" s="9" t="str">
        <f>questionnaire!E533</f>
        <v/>
      </c>
      <c r="F533" s="9">
        <f>8-questionnaire!F533</f>
        <v>8</v>
      </c>
      <c r="G533" s="9">
        <f>8-questionnaire!G533</f>
        <v>8</v>
      </c>
      <c r="H533" s="9">
        <f>8-questionnaire!H533</f>
        <v>8</v>
      </c>
      <c r="I533" s="9">
        <f>C533*10+D533*5+E533*1.66-(questionnaire!F533*1.66+questionnaire!G533*5+questionnaire!H533*10)</f>
        <v>0</v>
      </c>
    </row>
    <row r="534">
      <c r="A534" s="8" t="str">
        <f>questionnaire!A534</f>
        <v/>
      </c>
      <c r="B534" s="9" t="str">
        <f>questionnaire!B534</f>
        <v/>
      </c>
      <c r="C534" s="9" t="str">
        <f>questionnaire!C534</f>
        <v/>
      </c>
      <c r="D534" s="9" t="str">
        <f>questionnaire!D534</f>
        <v/>
      </c>
      <c r="E534" s="9" t="str">
        <f>questionnaire!E534</f>
        <v/>
      </c>
      <c r="F534" s="9">
        <f>8-questionnaire!F534</f>
        <v>8</v>
      </c>
      <c r="G534" s="9">
        <f>8-questionnaire!G534</f>
        <v>8</v>
      </c>
      <c r="H534" s="9">
        <f>8-questionnaire!H534</f>
        <v>8</v>
      </c>
      <c r="I534" s="9">
        <f>C534*10+D534*5+E534*1.66-(questionnaire!F534*1.66+questionnaire!G534*5+questionnaire!H534*10)</f>
        <v>0</v>
      </c>
    </row>
    <row r="535">
      <c r="A535" s="8" t="str">
        <f>questionnaire!A535</f>
        <v/>
      </c>
      <c r="B535" s="9" t="str">
        <f>questionnaire!B535</f>
        <v/>
      </c>
      <c r="C535" s="9" t="str">
        <f>questionnaire!C535</f>
        <v/>
      </c>
      <c r="D535" s="9" t="str">
        <f>questionnaire!D535</f>
        <v/>
      </c>
      <c r="E535" s="9" t="str">
        <f>questionnaire!E535</f>
        <v/>
      </c>
      <c r="F535" s="9">
        <f>8-questionnaire!F535</f>
        <v>8</v>
      </c>
      <c r="G535" s="9">
        <f>8-questionnaire!G535</f>
        <v>8</v>
      </c>
      <c r="H535" s="9">
        <f>8-questionnaire!H535</f>
        <v>8</v>
      </c>
      <c r="I535" s="9">
        <f>C535*10+D535*5+E535*1.66-(questionnaire!F535*1.66+questionnaire!G535*5+questionnaire!H535*10)</f>
        <v>0</v>
      </c>
    </row>
    <row r="536">
      <c r="A536" s="8" t="str">
        <f>questionnaire!A536</f>
        <v/>
      </c>
      <c r="B536" s="9" t="str">
        <f>questionnaire!B536</f>
        <v/>
      </c>
      <c r="C536" s="9" t="str">
        <f>questionnaire!C536</f>
        <v/>
      </c>
      <c r="D536" s="9" t="str">
        <f>questionnaire!D536</f>
        <v/>
      </c>
      <c r="E536" s="9" t="str">
        <f>questionnaire!E536</f>
        <v/>
      </c>
      <c r="F536" s="9">
        <f>8-questionnaire!F536</f>
        <v>8</v>
      </c>
      <c r="G536" s="9">
        <f>8-questionnaire!G536</f>
        <v>8</v>
      </c>
      <c r="H536" s="9">
        <f>8-questionnaire!H536</f>
        <v>8</v>
      </c>
      <c r="I536" s="9">
        <f>C536*10+D536*5+E536*1.66-(questionnaire!F536*1.66+questionnaire!G536*5+questionnaire!H536*10)</f>
        <v>0</v>
      </c>
    </row>
    <row r="537">
      <c r="A537" s="8" t="str">
        <f>questionnaire!A537</f>
        <v/>
      </c>
      <c r="B537" s="9" t="str">
        <f>questionnaire!B537</f>
        <v/>
      </c>
      <c r="C537" s="9" t="str">
        <f>questionnaire!C537</f>
        <v/>
      </c>
      <c r="D537" s="9" t="str">
        <f>questionnaire!D537</f>
        <v/>
      </c>
      <c r="E537" s="9" t="str">
        <f>questionnaire!E537</f>
        <v/>
      </c>
      <c r="F537" s="9">
        <f>8-questionnaire!F537</f>
        <v>8</v>
      </c>
      <c r="G537" s="9">
        <f>8-questionnaire!G537</f>
        <v>8</v>
      </c>
      <c r="H537" s="9">
        <f>8-questionnaire!H537</f>
        <v>8</v>
      </c>
      <c r="I537" s="9">
        <f>C537*10+D537*5+E537*1.66-(questionnaire!F537*1.66+questionnaire!G537*5+questionnaire!H537*10)</f>
        <v>0</v>
      </c>
    </row>
    <row r="538">
      <c r="A538" s="8" t="str">
        <f>questionnaire!A538</f>
        <v/>
      </c>
      <c r="B538" s="9" t="str">
        <f>questionnaire!B538</f>
        <v/>
      </c>
      <c r="C538" s="9" t="str">
        <f>questionnaire!C538</f>
        <v/>
      </c>
      <c r="D538" s="9" t="str">
        <f>questionnaire!D538</f>
        <v/>
      </c>
      <c r="E538" s="9" t="str">
        <f>questionnaire!E538</f>
        <v/>
      </c>
      <c r="F538" s="9">
        <f>8-questionnaire!F538</f>
        <v>8</v>
      </c>
      <c r="G538" s="9">
        <f>8-questionnaire!G538</f>
        <v>8</v>
      </c>
      <c r="H538" s="9">
        <f>8-questionnaire!H538</f>
        <v>8</v>
      </c>
      <c r="I538" s="9">
        <f>C538*10+D538*5+E538*1.66-(questionnaire!F538*1.66+questionnaire!G538*5+questionnaire!H538*10)</f>
        <v>0</v>
      </c>
    </row>
    <row r="539">
      <c r="A539" s="8" t="str">
        <f>questionnaire!A539</f>
        <v/>
      </c>
      <c r="B539" s="9" t="str">
        <f>questionnaire!B539</f>
        <v/>
      </c>
      <c r="C539" s="9" t="str">
        <f>questionnaire!C539</f>
        <v/>
      </c>
      <c r="D539" s="9" t="str">
        <f>questionnaire!D539</f>
        <v/>
      </c>
      <c r="E539" s="9" t="str">
        <f>questionnaire!E539</f>
        <v/>
      </c>
      <c r="F539" s="9">
        <f>8-questionnaire!F539</f>
        <v>8</v>
      </c>
      <c r="G539" s="9">
        <f>8-questionnaire!G539</f>
        <v>8</v>
      </c>
      <c r="H539" s="9">
        <f>8-questionnaire!H539</f>
        <v>8</v>
      </c>
      <c r="I539" s="9">
        <f>C539*10+D539*5+E539*1.66-(questionnaire!F539*1.66+questionnaire!G539*5+questionnaire!H539*10)</f>
        <v>0</v>
      </c>
    </row>
    <row r="540">
      <c r="A540" s="8" t="str">
        <f>questionnaire!A540</f>
        <v/>
      </c>
      <c r="B540" s="9" t="str">
        <f>questionnaire!B540</f>
        <v/>
      </c>
      <c r="C540" s="9" t="str">
        <f>questionnaire!C540</f>
        <v/>
      </c>
      <c r="D540" s="9" t="str">
        <f>questionnaire!D540</f>
        <v/>
      </c>
      <c r="E540" s="9" t="str">
        <f>questionnaire!E540</f>
        <v/>
      </c>
      <c r="F540" s="9">
        <f>8-questionnaire!F540</f>
        <v>8</v>
      </c>
      <c r="G540" s="9">
        <f>8-questionnaire!G540</f>
        <v>8</v>
      </c>
      <c r="H540" s="9">
        <f>8-questionnaire!H540</f>
        <v>8</v>
      </c>
      <c r="I540" s="9">
        <f>C540*10+D540*5+E540*1.66-(questionnaire!F540*1.66+questionnaire!G540*5+questionnaire!H540*10)</f>
        <v>0</v>
      </c>
    </row>
    <row r="541">
      <c r="A541" s="8" t="str">
        <f>questionnaire!A541</f>
        <v/>
      </c>
      <c r="B541" s="9" t="str">
        <f>questionnaire!B541</f>
        <v/>
      </c>
      <c r="C541" s="9" t="str">
        <f>questionnaire!C541</f>
        <v/>
      </c>
      <c r="D541" s="9" t="str">
        <f>questionnaire!D541</f>
        <v/>
      </c>
      <c r="E541" s="9" t="str">
        <f>questionnaire!E541</f>
        <v/>
      </c>
      <c r="F541" s="9">
        <f>8-questionnaire!F541</f>
        <v>8</v>
      </c>
      <c r="G541" s="9">
        <f>8-questionnaire!G541</f>
        <v>8</v>
      </c>
      <c r="H541" s="9">
        <f>8-questionnaire!H541</f>
        <v>8</v>
      </c>
      <c r="I541" s="9">
        <f>C541*10+D541*5+E541*1.66-(questionnaire!F541*1.66+questionnaire!G541*5+questionnaire!H541*10)</f>
        <v>0</v>
      </c>
    </row>
    <row r="542">
      <c r="A542" s="8" t="str">
        <f>questionnaire!A542</f>
        <v/>
      </c>
      <c r="B542" s="9" t="str">
        <f>questionnaire!B542</f>
        <v/>
      </c>
      <c r="C542" s="9" t="str">
        <f>questionnaire!C542</f>
        <v/>
      </c>
      <c r="D542" s="9" t="str">
        <f>questionnaire!D542</f>
        <v/>
      </c>
      <c r="E542" s="9" t="str">
        <f>questionnaire!E542</f>
        <v/>
      </c>
      <c r="F542" s="9">
        <f>8-questionnaire!F542</f>
        <v>8</v>
      </c>
      <c r="G542" s="9">
        <f>8-questionnaire!G542</f>
        <v>8</v>
      </c>
      <c r="H542" s="9">
        <f>8-questionnaire!H542</f>
        <v>8</v>
      </c>
      <c r="I542" s="9">
        <f>C542*10+D542*5+E542*1.66-(questionnaire!F542*1.66+questionnaire!G542*5+questionnaire!H542*10)</f>
        <v>0</v>
      </c>
    </row>
    <row r="543">
      <c r="A543" s="8" t="str">
        <f>questionnaire!A543</f>
        <v/>
      </c>
      <c r="B543" s="9" t="str">
        <f>questionnaire!B543</f>
        <v/>
      </c>
      <c r="C543" s="9" t="str">
        <f>questionnaire!C543</f>
        <v/>
      </c>
      <c r="D543" s="9" t="str">
        <f>questionnaire!D543</f>
        <v/>
      </c>
      <c r="E543" s="9" t="str">
        <f>questionnaire!E543</f>
        <v/>
      </c>
      <c r="F543" s="9">
        <f>8-questionnaire!F543</f>
        <v>8</v>
      </c>
      <c r="G543" s="9">
        <f>8-questionnaire!G543</f>
        <v>8</v>
      </c>
      <c r="H543" s="9">
        <f>8-questionnaire!H543</f>
        <v>8</v>
      </c>
      <c r="I543" s="9">
        <f>C543*10+D543*5+E543*1.66-(questionnaire!F543*1.66+questionnaire!G543*5+questionnaire!H543*10)</f>
        <v>0</v>
      </c>
    </row>
    <row r="544">
      <c r="A544" s="8" t="str">
        <f>questionnaire!A544</f>
        <v/>
      </c>
      <c r="B544" s="9" t="str">
        <f>questionnaire!B544</f>
        <v/>
      </c>
      <c r="C544" s="9" t="str">
        <f>questionnaire!C544</f>
        <v/>
      </c>
      <c r="D544" s="9" t="str">
        <f>questionnaire!D544</f>
        <v/>
      </c>
      <c r="E544" s="9" t="str">
        <f>questionnaire!E544</f>
        <v/>
      </c>
      <c r="F544" s="9">
        <f>8-questionnaire!F544</f>
        <v>8</v>
      </c>
      <c r="G544" s="9">
        <f>8-questionnaire!G544</f>
        <v>8</v>
      </c>
      <c r="H544" s="9">
        <f>8-questionnaire!H544</f>
        <v>8</v>
      </c>
      <c r="I544" s="9">
        <f>C544*10+D544*5+E544*1.66-(questionnaire!F544*1.66+questionnaire!G544*5+questionnaire!H544*10)</f>
        <v>0</v>
      </c>
    </row>
    <row r="545">
      <c r="A545" s="8" t="str">
        <f>questionnaire!A545</f>
        <v/>
      </c>
      <c r="B545" s="9" t="str">
        <f>questionnaire!B545</f>
        <v/>
      </c>
      <c r="C545" s="9" t="str">
        <f>questionnaire!C545</f>
        <v/>
      </c>
      <c r="D545" s="9" t="str">
        <f>questionnaire!D545</f>
        <v/>
      </c>
      <c r="E545" s="9" t="str">
        <f>questionnaire!E545</f>
        <v/>
      </c>
      <c r="F545" s="9">
        <f>8-questionnaire!F545</f>
        <v>8</v>
      </c>
      <c r="G545" s="9">
        <f>8-questionnaire!G545</f>
        <v>8</v>
      </c>
      <c r="H545" s="9">
        <f>8-questionnaire!H545</f>
        <v>8</v>
      </c>
      <c r="I545" s="9">
        <f>C545*10+D545*5+E545*1.66-(questionnaire!F545*1.66+questionnaire!G545*5+questionnaire!H545*10)</f>
        <v>0</v>
      </c>
    </row>
    <row r="546">
      <c r="A546" s="8" t="str">
        <f>questionnaire!A546</f>
        <v/>
      </c>
      <c r="B546" s="9" t="str">
        <f>questionnaire!B546</f>
        <v/>
      </c>
      <c r="C546" s="9" t="str">
        <f>questionnaire!C546</f>
        <v/>
      </c>
      <c r="D546" s="9" t="str">
        <f>questionnaire!D546</f>
        <v/>
      </c>
      <c r="E546" s="9" t="str">
        <f>questionnaire!E546</f>
        <v/>
      </c>
      <c r="F546" s="9">
        <f>8-questionnaire!F546</f>
        <v>8</v>
      </c>
      <c r="G546" s="9">
        <f>8-questionnaire!G546</f>
        <v>8</v>
      </c>
      <c r="H546" s="9">
        <f>8-questionnaire!H546</f>
        <v>8</v>
      </c>
      <c r="I546" s="9">
        <f>C546*10+D546*5+E546*1.66-(questionnaire!F546*1.66+questionnaire!G546*5+questionnaire!H546*10)</f>
        <v>0</v>
      </c>
    </row>
    <row r="547">
      <c r="A547" s="8" t="str">
        <f>questionnaire!A547</f>
        <v/>
      </c>
      <c r="B547" s="9" t="str">
        <f>questionnaire!B547</f>
        <v/>
      </c>
      <c r="C547" s="9" t="str">
        <f>questionnaire!C547</f>
        <v/>
      </c>
      <c r="D547" s="9" t="str">
        <f>questionnaire!D547</f>
        <v/>
      </c>
      <c r="E547" s="9" t="str">
        <f>questionnaire!E547</f>
        <v/>
      </c>
      <c r="F547" s="9">
        <f>8-questionnaire!F547</f>
        <v>8</v>
      </c>
      <c r="G547" s="9">
        <f>8-questionnaire!G547</f>
        <v>8</v>
      </c>
      <c r="H547" s="9">
        <f>8-questionnaire!H547</f>
        <v>8</v>
      </c>
      <c r="I547" s="9">
        <f>C547*10+D547*5+E547*1.66-(questionnaire!F547*1.66+questionnaire!G547*5+questionnaire!H547*10)</f>
        <v>0</v>
      </c>
    </row>
    <row r="548">
      <c r="A548" s="8" t="str">
        <f>questionnaire!A548</f>
        <v/>
      </c>
      <c r="B548" s="9" t="str">
        <f>questionnaire!B548</f>
        <v/>
      </c>
      <c r="C548" s="9" t="str">
        <f>questionnaire!C548</f>
        <v/>
      </c>
      <c r="D548" s="9" t="str">
        <f>questionnaire!D548</f>
        <v/>
      </c>
      <c r="E548" s="9" t="str">
        <f>questionnaire!E548</f>
        <v/>
      </c>
      <c r="F548" s="9">
        <f>8-questionnaire!F548</f>
        <v>8</v>
      </c>
      <c r="G548" s="9">
        <f>8-questionnaire!G548</f>
        <v>8</v>
      </c>
      <c r="H548" s="9">
        <f>8-questionnaire!H548</f>
        <v>8</v>
      </c>
      <c r="I548" s="9">
        <f>C548*10+D548*5+E548*1.66-(questionnaire!F548*1.66+questionnaire!G548*5+questionnaire!H548*10)</f>
        <v>0</v>
      </c>
    </row>
    <row r="549">
      <c r="A549" s="8" t="str">
        <f>questionnaire!A549</f>
        <v/>
      </c>
      <c r="B549" s="9" t="str">
        <f>questionnaire!B549</f>
        <v/>
      </c>
      <c r="C549" s="9" t="str">
        <f>questionnaire!C549</f>
        <v/>
      </c>
      <c r="D549" s="9" t="str">
        <f>questionnaire!D549</f>
        <v/>
      </c>
      <c r="E549" s="9" t="str">
        <f>questionnaire!E549</f>
        <v/>
      </c>
      <c r="F549" s="9">
        <f>8-questionnaire!F549</f>
        <v>8</v>
      </c>
      <c r="G549" s="9">
        <f>8-questionnaire!G549</f>
        <v>8</v>
      </c>
      <c r="H549" s="9">
        <f>8-questionnaire!H549</f>
        <v>8</v>
      </c>
      <c r="I549" s="9">
        <f>C549*10+D549*5+E549*1.66-(questionnaire!F549*1.66+questionnaire!G549*5+questionnaire!H549*10)</f>
        <v>0</v>
      </c>
    </row>
    <row r="550">
      <c r="A550" s="8" t="str">
        <f>questionnaire!A550</f>
        <v/>
      </c>
      <c r="B550" s="9" t="str">
        <f>questionnaire!B550</f>
        <v/>
      </c>
      <c r="C550" s="9" t="str">
        <f>questionnaire!C550</f>
        <v/>
      </c>
      <c r="D550" s="9" t="str">
        <f>questionnaire!D550</f>
        <v/>
      </c>
      <c r="E550" s="9" t="str">
        <f>questionnaire!E550</f>
        <v/>
      </c>
      <c r="F550" s="9">
        <f>8-questionnaire!F550</f>
        <v>8</v>
      </c>
      <c r="G550" s="9">
        <f>8-questionnaire!G550</f>
        <v>8</v>
      </c>
      <c r="H550" s="9">
        <f>8-questionnaire!H550</f>
        <v>8</v>
      </c>
      <c r="I550" s="9">
        <f>C550*10+D550*5+E550*1.66-(questionnaire!F550*1.66+questionnaire!G550*5+questionnaire!H550*10)</f>
        <v>0</v>
      </c>
    </row>
    <row r="551">
      <c r="A551" s="8" t="str">
        <f>questionnaire!A551</f>
        <v/>
      </c>
      <c r="B551" s="9" t="str">
        <f>questionnaire!B551</f>
        <v/>
      </c>
      <c r="C551" s="9" t="str">
        <f>questionnaire!C551</f>
        <v/>
      </c>
      <c r="D551" s="9" t="str">
        <f>questionnaire!D551</f>
        <v/>
      </c>
      <c r="E551" s="9" t="str">
        <f>questionnaire!E551</f>
        <v/>
      </c>
      <c r="F551" s="9">
        <f>8-questionnaire!F551</f>
        <v>8</v>
      </c>
      <c r="G551" s="9">
        <f>8-questionnaire!G551</f>
        <v>8</v>
      </c>
      <c r="H551" s="9">
        <f>8-questionnaire!H551</f>
        <v>8</v>
      </c>
      <c r="I551" s="9">
        <f>C551*10+D551*5+E551*1.66-(questionnaire!F551*1.66+questionnaire!G551*5+questionnaire!H551*10)</f>
        <v>0</v>
      </c>
    </row>
    <row r="552">
      <c r="A552" s="8" t="str">
        <f>questionnaire!A552</f>
        <v/>
      </c>
      <c r="B552" s="9" t="str">
        <f>questionnaire!B552</f>
        <v/>
      </c>
      <c r="C552" s="9" t="str">
        <f>questionnaire!C552</f>
        <v/>
      </c>
      <c r="D552" s="9" t="str">
        <f>questionnaire!D552</f>
        <v/>
      </c>
      <c r="E552" s="9" t="str">
        <f>questionnaire!E552</f>
        <v/>
      </c>
      <c r="F552" s="9">
        <f>8-questionnaire!F552</f>
        <v>8</v>
      </c>
      <c r="G552" s="9">
        <f>8-questionnaire!G552</f>
        <v>8</v>
      </c>
      <c r="H552" s="9">
        <f>8-questionnaire!H552</f>
        <v>8</v>
      </c>
      <c r="I552" s="9">
        <f>C552*10+D552*5+E552*1.66-(questionnaire!F552*1.66+questionnaire!G552*5+questionnaire!H552*10)</f>
        <v>0</v>
      </c>
    </row>
    <row r="553">
      <c r="A553" s="8" t="str">
        <f>questionnaire!A553</f>
        <v/>
      </c>
      <c r="B553" s="9" t="str">
        <f>questionnaire!B553</f>
        <v/>
      </c>
      <c r="C553" s="9" t="str">
        <f>questionnaire!C553</f>
        <v/>
      </c>
      <c r="D553" s="9" t="str">
        <f>questionnaire!D553</f>
        <v/>
      </c>
      <c r="E553" s="9" t="str">
        <f>questionnaire!E553</f>
        <v/>
      </c>
      <c r="F553" s="9">
        <f>8-questionnaire!F553</f>
        <v>8</v>
      </c>
      <c r="G553" s="9">
        <f>8-questionnaire!G553</f>
        <v>8</v>
      </c>
      <c r="H553" s="9">
        <f>8-questionnaire!H553</f>
        <v>8</v>
      </c>
      <c r="I553" s="9">
        <f>C553*10+D553*5+E553*1.66-(questionnaire!F553*1.66+questionnaire!G553*5+questionnaire!H553*10)</f>
        <v>0</v>
      </c>
    </row>
    <row r="554">
      <c r="A554" s="8" t="str">
        <f>questionnaire!A554</f>
        <v/>
      </c>
      <c r="B554" s="9" t="str">
        <f>questionnaire!B554</f>
        <v/>
      </c>
      <c r="C554" s="9" t="str">
        <f>questionnaire!C554</f>
        <v/>
      </c>
      <c r="D554" s="9" t="str">
        <f>questionnaire!D554</f>
        <v/>
      </c>
      <c r="E554" s="9" t="str">
        <f>questionnaire!E554</f>
        <v/>
      </c>
      <c r="F554" s="9">
        <f>8-questionnaire!F554</f>
        <v>8</v>
      </c>
      <c r="G554" s="9">
        <f>8-questionnaire!G554</f>
        <v>8</v>
      </c>
      <c r="H554" s="9">
        <f>8-questionnaire!H554</f>
        <v>8</v>
      </c>
      <c r="I554" s="9">
        <f>C554*10+D554*5+E554*1.66-(questionnaire!F554*1.66+questionnaire!G554*5+questionnaire!H554*10)</f>
        <v>0</v>
      </c>
    </row>
    <row r="555">
      <c r="A555" s="8" t="str">
        <f>questionnaire!A555</f>
        <v/>
      </c>
      <c r="B555" s="9" t="str">
        <f>questionnaire!B555</f>
        <v/>
      </c>
      <c r="C555" s="9" t="str">
        <f>questionnaire!C555</f>
        <v/>
      </c>
      <c r="D555" s="9" t="str">
        <f>questionnaire!D555</f>
        <v/>
      </c>
      <c r="E555" s="9" t="str">
        <f>questionnaire!E555</f>
        <v/>
      </c>
      <c r="F555" s="9">
        <f>8-questionnaire!F555</f>
        <v>8</v>
      </c>
      <c r="G555" s="9">
        <f>8-questionnaire!G555</f>
        <v>8</v>
      </c>
      <c r="H555" s="9">
        <f>8-questionnaire!H555</f>
        <v>8</v>
      </c>
      <c r="I555" s="9">
        <f>C555*10+D555*5+E555*1.66-(questionnaire!F555*1.66+questionnaire!G555*5+questionnaire!H555*10)</f>
        <v>0</v>
      </c>
    </row>
    <row r="556">
      <c r="A556" s="8" t="str">
        <f>questionnaire!A556</f>
        <v/>
      </c>
      <c r="B556" s="9" t="str">
        <f>questionnaire!B556</f>
        <v/>
      </c>
      <c r="C556" s="9" t="str">
        <f>questionnaire!C556</f>
        <v/>
      </c>
      <c r="D556" s="9" t="str">
        <f>questionnaire!D556</f>
        <v/>
      </c>
      <c r="E556" s="9" t="str">
        <f>questionnaire!E556</f>
        <v/>
      </c>
      <c r="F556" s="9">
        <f>8-questionnaire!F556</f>
        <v>8</v>
      </c>
      <c r="G556" s="9">
        <f>8-questionnaire!G556</f>
        <v>8</v>
      </c>
      <c r="H556" s="9">
        <f>8-questionnaire!H556</f>
        <v>8</v>
      </c>
      <c r="I556" s="9">
        <f>C556*10+D556*5+E556*1.66-(questionnaire!F556*1.66+questionnaire!G556*5+questionnaire!H556*10)</f>
        <v>0</v>
      </c>
    </row>
    <row r="557">
      <c r="A557" s="8" t="str">
        <f>questionnaire!A557</f>
        <v/>
      </c>
      <c r="B557" s="9" t="str">
        <f>questionnaire!B557</f>
        <v/>
      </c>
      <c r="C557" s="9" t="str">
        <f>questionnaire!C557</f>
        <v/>
      </c>
      <c r="D557" s="9" t="str">
        <f>questionnaire!D557</f>
        <v/>
      </c>
      <c r="E557" s="9" t="str">
        <f>questionnaire!E557</f>
        <v/>
      </c>
      <c r="F557" s="9">
        <f>8-questionnaire!F557</f>
        <v>8</v>
      </c>
      <c r="G557" s="9">
        <f>8-questionnaire!G557</f>
        <v>8</v>
      </c>
      <c r="H557" s="9">
        <f>8-questionnaire!H557</f>
        <v>8</v>
      </c>
      <c r="I557" s="9">
        <f>C557*10+D557*5+E557*1.66-(questionnaire!F557*1.66+questionnaire!G557*5+questionnaire!H557*10)</f>
        <v>0</v>
      </c>
    </row>
    <row r="558">
      <c r="A558" s="8" t="str">
        <f>questionnaire!A558</f>
        <v/>
      </c>
      <c r="B558" s="9" t="str">
        <f>questionnaire!B558</f>
        <v/>
      </c>
      <c r="C558" s="9" t="str">
        <f>questionnaire!C558</f>
        <v/>
      </c>
      <c r="D558" s="9" t="str">
        <f>questionnaire!D558</f>
        <v/>
      </c>
      <c r="E558" s="9" t="str">
        <f>questionnaire!E558</f>
        <v/>
      </c>
      <c r="F558" s="9">
        <f>8-questionnaire!F558</f>
        <v>8</v>
      </c>
      <c r="G558" s="9">
        <f>8-questionnaire!G558</f>
        <v>8</v>
      </c>
      <c r="H558" s="9">
        <f>8-questionnaire!H558</f>
        <v>8</v>
      </c>
      <c r="I558" s="9">
        <f>C558*10+D558*5+E558*1.66-(questionnaire!F558*1.66+questionnaire!G558*5+questionnaire!H558*10)</f>
        <v>0</v>
      </c>
    </row>
    <row r="559">
      <c r="A559" s="8" t="str">
        <f>questionnaire!A559</f>
        <v/>
      </c>
      <c r="B559" s="9" t="str">
        <f>questionnaire!B559</f>
        <v/>
      </c>
      <c r="C559" s="9" t="str">
        <f>questionnaire!C559</f>
        <v/>
      </c>
      <c r="D559" s="9" t="str">
        <f>questionnaire!D559</f>
        <v/>
      </c>
      <c r="E559" s="9" t="str">
        <f>questionnaire!E559</f>
        <v/>
      </c>
      <c r="F559" s="9">
        <f>8-questionnaire!F559</f>
        <v>8</v>
      </c>
      <c r="G559" s="9">
        <f>8-questionnaire!G559</f>
        <v>8</v>
      </c>
      <c r="H559" s="9">
        <f>8-questionnaire!H559</f>
        <v>8</v>
      </c>
      <c r="I559" s="9">
        <f>C559*10+D559*5+E559*1.66-(questionnaire!F559*1.66+questionnaire!G559*5+questionnaire!H559*10)</f>
        <v>0</v>
      </c>
    </row>
    <row r="560">
      <c r="A560" s="8" t="str">
        <f>questionnaire!A560</f>
        <v/>
      </c>
      <c r="B560" s="9" t="str">
        <f>questionnaire!B560</f>
        <v/>
      </c>
      <c r="C560" s="9" t="str">
        <f>questionnaire!C560</f>
        <v/>
      </c>
      <c r="D560" s="9" t="str">
        <f>questionnaire!D560</f>
        <v/>
      </c>
      <c r="E560" s="9" t="str">
        <f>questionnaire!E560</f>
        <v/>
      </c>
      <c r="F560" s="9">
        <f>8-questionnaire!F560</f>
        <v>8</v>
      </c>
      <c r="G560" s="9">
        <f>8-questionnaire!G560</f>
        <v>8</v>
      </c>
      <c r="H560" s="9">
        <f>8-questionnaire!H560</f>
        <v>8</v>
      </c>
      <c r="I560" s="9">
        <f>C560*10+D560*5+E560*1.66-(questionnaire!F560*1.66+questionnaire!G560*5+questionnaire!H560*10)</f>
        <v>0</v>
      </c>
    </row>
    <row r="561">
      <c r="A561" s="8" t="str">
        <f>questionnaire!A561</f>
        <v/>
      </c>
      <c r="B561" s="9" t="str">
        <f>questionnaire!B561</f>
        <v/>
      </c>
      <c r="C561" s="9" t="str">
        <f>questionnaire!C561</f>
        <v/>
      </c>
      <c r="D561" s="9" t="str">
        <f>questionnaire!D561</f>
        <v/>
      </c>
      <c r="E561" s="9" t="str">
        <f>questionnaire!E561</f>
        <v/>
      </c>
      <c r="F561" s="9">
        <f>8-questionnaire!F561</f>
        <v>8</v>
      </c>
      <c r="G561" s="9">
        <f>8-questionnaire!G561</f>
        <v>8</v>
      </c>
      <c r="H561" s="9">
        <f>8-questionnaire!H561</f>
        <v>8</v>
      </c>
      <c r="I561" s="9">
        <f>C561*10+D561*5+E561*1.66-(questionnaire!F561*1.66+questionnaire!G561*5+questionnaire!H561*10)</f>
        <v>0</v>
      </c>
    </row>
    <row r="562">
      <c r="A562" s="8" t="str">
        <f>questionnaire!A562</f>
        <v/>
      </c>
      <c r="B562" s="9" t="str">
        <f>questionnaire!B562</f>
        <v/>
      </c>
      <c r="C562" s="9" t="str">
        <f>questionnaire!C562</f>
        <v/>
      </c>
      <c r="D562" s="9" t="str">
        <f>questionnaire!D562</f>
        <v/>
      </c>
      <c r="E562" s="9" t="str">
        <f>questionnaire!E562</f>
        <v/>
      </c>
      <c r="F562" s="9">
        <f>8-questionnaire!F562</f>
        <v>8</v>
      </c>
      <c r="G562" s="9">
        <f>8-questionnaire!G562</f>
        <v>8</v>
      </c>
      <c r="H562" s="9">
        <f>8-questionnaire!H562</f>
        <v>8</v>
      </c>
      <c r="I562" s="9">
        <f>C562*10+D562*5+E562*1.66-(questionnaire!F562*1.66+questionnaire!G562*5+questionnaire!H562*10)</f>
        <v>0</v>
      </c>
    </row>
    <row r="563">
      <c r="A563" s="8" t="str">
        <f>questionnaire!A563</f>
        <v/>
      </c>
      <c r="B563" s="9" t="str">
        <f>questionnaire!B563</f>
        <v/>
      </c>
      <c r="C563" s="9" t="str">
        <f>questionnaire!C563</f>
        <v/>
      </c>
      <c r="D563" s="9" t="str">
        <f>questionnaire!D563</f>
        <v/>
      </c>
      <c r="E563" s="9" t="str">
        <f>questionnaire!E563</f>
        <v/>
      </c>
      <c r="F563" s="9">
        <f>8-questionnaire!F563</f>
        <v>8</v>
      </c>
      <c r="G563" s="9">
        <f>8-questionnaire!G563</f>
        <v>8</v>
      </c>
      <c r="H563" s="9">
        <f>8-questionnaire!H563</f>
        <v>8</v>
      </c>
      <c r="I563" s="9">
        <f>C563*10+D563*5+E563*1.66-(questionnaire!F563*1.66+questionnaire!G563*5+questionnaire!H563*10)</f>
        <v>0</v>
      </c>
    </row>
    <row r="564">
      <c r="A564" s="8" t="str">
        <f>questionnaire!A564</f>
        <v/>
      </c>
      <c r="B564" s="9" t="str">
        <f>questionnaire!B564</f>
        <v/>
      </c>
      <c r="C564" s="9" t="str">
        <f>questionnaire!C564</f>
        <v/>
      </c>
      <c r="D564" s="9" t="str">
        <f>questionnaire!D564</f>
        <v/>
      </c>
      <c r="E564" s="9" t="str">
        <f>questionnaire!E564</f>
        <v/>
      </c>
      <c r="F564" s="9">
        <f>8-questionnaire!F564</f>
        <v>8</v>
      </c>
      <c r="G564" s="9">
        <f>8-questionnaire!G564</f>
        <v>8</v>
      </c>
      <c r="H564" s="9">
        <f>8-questionnaire!H564</f>
        <v>8</v>
      </c>
      <c r="I564" s="9">
        <f>C564*10+D564*5+E564*1.66-(questionnaire!F564*1.66+questionnaire!G564*5+questionnaire!H564*10)</f>
        <v>0</v>
      </c>
    </row>
    <row r="565">
      <c r="A565" s="8" t="str">
        <f>questionnaire!A565</f>
        <v/>
      </c>
      <c r="B565" s="9" t="str">
        <f>questionnaire!B565</f>
        <v/>
      </c>
      <c r="C565" s="9" t="str">
        <f>questionnaire!C565</f>
        <v/>
      </c>
      <c r="D565" s="9" t="str">
        <f>questionnaire!D565</f>
        <v/>
      </c>
      <c r="E565" s="9" t="str">
        <f>questionnaire!E565</f>
        <v/>
      </c>
      <c r="F565" s="9">
        <f>8-questionnaire!F565</f>
        <v>8</v>
      </c>
      <c r="G565" s="9">
        <f>8-questionnaire!G565</f>
        <v>8</v>
      </c>
      <c r="H565" s="9">
        <f>8-questionnaire!H565</f>
        <v>8</v>
      </c>
      <c r="I565" s="9">
        <f>C565*10+D565*5+E565*1.66-(questionnaire!F565*1.66+questionnaire!G565*5+questionnaire!H565*10)</f>
        <v>0</v>
      </c>
    </row>
    <row r="566">
      <c r="A566" s="8" t="str">
        <f>questionnaire!A566</f>
        <v/>
      </c>
      <c r="B566" s="9" t="str">
        <f>questionnaire!B566</f>
        <v/>
      </c>
      <c r="C566" s="9" t="str">
        <f>questionnaire!C566</f>
        <v/>
      </c>
      <c r="D566" s="9" t="str">
        <f>questionnaire!D566</f>
        <v/>
      </c>
      <c r="E566" s="9" t="str">
        <f>questionnaire!E566</f>
        <v/>
      </c>
      <c r="F566" s="9">
        <f>8-questionnaire!F566</f>
        <v>8</v>
      </c>
      <c r="G566" s="9">
        <f>8-questionnaire!G566</f>
        <v>8</v>
      </c>
      <c r="H566" s="9">
        <f>8-questionnaire!H566</f>
        <v>8</v>
      </c>
      <c r="I566" s="9">
        <f>C566*10+D566*5+E566*1.66-(questionnaire!F566*1.66+questionnaire!G566*5+questionnaire!H566*10)</f>
        <v>0</v>
      </c>
    </row>
    <row r="567">
      <c r="A567" s="8" t="str">
        <f>questionnaire!A567</f>
        <v/>
      </c>
      <c r="B567" s="9" t="str">
        <f>questionnaire!B567</f>
        <v/>
      </c>
      <c r="C567" s="9" t="str">
        <f>questionnaire!C567</f>
        <v/>
      </c>
      <c r="D567" s="9" t="str">
        <f>questionnaire!D567</f>
        <v/>
      </c>
      <c r="E567" s="9" t="str">
        <f>questionnaire!E567</f>
        <v/>
      </c>
      <c r="F567" s="9">
        <f>8-questionnaire!F567</f>
        <v>8</v>
      </c>
      <c r="G567" s="9">
        <f>8-questionnaire!G567</f>
        <v>8</v>
      </c>
      <c r="H567" s="9">
        <f>8-questionnaire!H567</f>
        <v>8</v>
      </c>
      <c r="I567" s="9">
        <f>C567*10+D567*5+E567*1.66-(questionnaire!F567*1.66+questionnaire!G567*5+questionnaire!H567*10)</f>
        <v>0</v>
      </c>
    </row>
    <row r="568">
      <c r="A568" s="8" t="str">
        <f>questionnaire!A568</f>
        <v/>
      </c>
      <c r="B568" s="9" t="str">
        <f>questionnaire!B568</f>
        <v/>
      </c>
      <c r="C568" s="9" t="str">
        <f>questionnaire!C568</f>
        <v/>
      </c>
      <c r="D568" s="9" t="str">
        <f>questionnaire!D568</f>
        <v/>
      </c>
      <c r="E568" s="9" t="str">
        <f>questionnaire!E568</f>
        <v/>
      </c>
      <c r="F568" s="9">
        <f>8-questionnaire!F568</f>
        <v>8</v>
      </c>
      <c r="G568" s="9">
        <f>8-questionnaire!G568</f>
        <v>8</v>
      </c>
      <c r="H568" s="9">
        <f>8-questionnaire!H568</f>
        <v>8</v>
      </c>
      <c r="I568" s="9">
        <f>C568*10+D568*5+E568*1.66-(questionnaire!F568*1.66+questionnaire!G568*5+questionnaire!H568*10)</f>
        <v>0</v>
      </c>
    </row>
    <row r="569">
      <c r="A569" s="8" t="str">
        <f>questionnaire!A569</f>
        <v/>
      </c>
      <c r="B569" s="9" t="str">
        <f>questionnaire!B569</f>
        <v/>
      </c>
      <c r="C569" s="9" t="str">
        <f>questionnaire!C569</f>
        <v/>
      </c>
      <c r="D569" s="9" t="str">
        <f>questionnaire!D569</f>
        <v/>
      </c>
      <c r="E569" s="9" t="str">
        <f>questionnaire!E569</f>
        <v/>
      </c>
      <c r="F569" s="9">
        <f>8-questionnaire!F569</f>
        <v>8</v>
      </c>
      <c r="G569" s="9">
        <f>8-questionnaire!G569</f>
        <v>8</v>
      </c>
      <c r="H569" s="9">
        <f>8-questionnaire!H569</f>
        <v>8</v>
      </c>
      <c r="I569" s="9">
        <f>C569*10+D569*5+E569*1.66-(questionnaire!F569*1.66+questionnaire!G569*5+questionnaire!H569*10)</f>
        <v>0</v>
      </c>
    </row>
    <row r="570">
      <c r="A570" s="8" t="str">
        <f>questionnaire!A570</f>
        <v/>
      </c>
      <c r="B570" s="9" t="str">
        <f>questionnaire!B570</f>
        <v/>
      </c>
      <c r="C570" s="9" t="str">
        <f>questionnaire!C570</f>
        <v/>
      </c>
      <c r="D570" s="9" t="str">
        <f>questionnaire!D570</f>
        <v/>
      </c>
      <c r="E570" s="9" t="str">
        <f>questionnaire!E570</f>
        <v/>
      </c>
      <c r="F570" s="9">
        <f>8-questionnaire!F570</f>
        <v>8</v>
      </c>
      <c r="G570" s="9">
        <f>8-questionnaire!G570</f>
        <v>8</v>
      </c>
      <c r="H570" s="9">
        <f>8-questionnaire!H570</f>
        <v>8</v>
      </c>
      <c r="I570" s="9">
        <f>C570*10+D570*5+E570*1.66-(questionnaire!F570*1.66+questionnaire!G570*5+questionnaire!H570*10)</f>
        <v>0</v>
      </c>
    </row>
    <row r="571">
      <c r="A571" s="8" t="str">
        <f>questionnaire!A571</f>
        <v/>
      </c>
      <c r="B571" s="9" t="str">
        <f>questionnaire!B571</f>
        <v/>
      </c>
      <c r="C571" s="9" t="str">
        <f>questionnaire!C571</f>
        <v/>
      </c>
      <c r="D571" s="9" t="str">
        <f>questionnaire!D571</f>
        <v/>
      </c>
      <c r="E571" s="9" t="str">
        <f>questionnaire!E571</f>
        <v/>
      </c>
      <c r="F571" s="9">
        <f>8-questionnaire!F571</f>
        <v>8</v>
      </c>
      <c r="G571" s="9">
        <f>8-questionnaire!G571</f>
        <v>8</v>
      </c>
      <c r="H571" s="9">
        <f>8-questionnaire!H571</f>
        <v>8</v>
      </c>
      <c r="I571" s="9">
        <f>C571*10+D571*5+E571*1.66-(questionnaire!F571*1.66+questionnaire!G571*5+questionnaire!H571*10)</f>
        <v>0</v>
      </c>
    </row>
    <row r="572">
      <c r="A572" s="8" t="str">
        <f>questionnaire!A572</f>
        <v/>
      </c>
      <c r="B572" s="9" t="str">
        <f>questionnaire!B572</f>
        <v/>
      </c>
      <c r="C572" s="9" t="str">
        <f>questionnaire!C572</f>
        <v/>
      </c>
      <c r="D572" s="9" t="str">
        <f>questionnaire!D572</f>
        <v/>
      </c>
      <c r="E572" s="9" t="str">
        <f>questionnaire!E572</f>
        <v/>
      </c>
      <c r="F572" s="9">
        <f>8-questionnaire!F572</f>
        <v>8</v>
      </c>
      <c r="G572" s="9">
        <f>8-questionnaire!G572</f>
        <v>8</v>
      </c>
      <c r="H572" s="9">
        <f>8-questionnaire!H572</f>
        <v>8</v>
      </c>
      <c r="I572" s="9">
        <f>C572*10+D572*5+E572*1.66-(questionnaire!F572*1.66+questionnaire!G572*5+questionnaire!H572*10)</f>
        <v>0</v>
      </c>
    </row>
    <row r="573">
      <c r="A573" s="8" t="str">
        <f>questionnaire!A573</f>
        <v/>
      </c>
      <c r="B573" s="9" t="str">
        <f>questionnaire!B573</f>
        <v/>
      </c>
      <c r="C573" s="9" t="str">
        <f>questionnaire!C573</f>
        <v/>
      </c>
      <c r="D573" s="9" t="str">
        <f>questionnaire!D573</f>
        <v/>
      </c>
      <c r="E573" s="9" t="str">
        <f>questionnaire!E573</f>
        <v/>
      </c>
      <c r="F573" s="9">
        <f>8-questionnaire!F573</f>
        <v>8</v>
      </c>
      <c r="G573" s="9">
        <f>8-questionnaire!G573</f>
        <v>8</v>
      </c>
      <c r="H573" s="9">
        <f>8-questionnaire!H573</f>
        <v>8</v>
      </c>
      <c r="I573" s="9">
        <f>C573*10+D573*5+E573*1.66-(questionnaire!F573*1.66+questionnaire!G573*5+questionnaire!H573*10)</f>
        <v>0</v>
      </c>
    </row>
    <row r="574">
      <c r="A574" s="8" t="str">
        <f>questionnaire!A574</f>
        <v/>
      </c>
      <c r="B574" s="9" t="str">
        <f>questionnaire!B574</f>
        <v/>
      </c>
      <c r="C574" s="9" t="str">
        <f>questionnaire!C574</f>
        <v/>
      </c>
      <c r="D574" s="9" t="str">
        <f>questionnaire!D574</f>
        <v/>
      </c>
      <c r="E574" s="9" t="str">
        <f>questionnaire!E574</f>
        <v/>
      </c>
      <c r="F574" s="9">
        <f>8-questionnaire!F574</f>
        <v>8</v>
      </c>
      <c r="G574" s="9">
        <f>8-questionnaire!G574</f>
        <v>8</v>
      </c>
      <c r="H574" s="9">
        <f>8-questionnaire!H574</f>
        <v>8</v>
      </c>
      <c r="I574" s="9">
        <f>C574*10+D574*5+E574*1.66-(questionnaire!F574*1.66+questionnaire!G574*5+questionnaire!H574*10)</f>
        <v>0</v>
      </c>
    </row>
    <row r="575">
      <c r="A575" s="8" t="str">
        <f>questionnaire!A575</f>
        <v/>
      </c>
      <c r="B575" s="9" t="str">
        <f>questionnaire!B575</f>
        <v/>
      </c>
      <c r="C575" s="9" t="str">
        <f>questionnaire!C575</f>
        <v/>
      </c>
      <c r="D575" s="9" t="str">
        <f>questionnaire!D575</f>
        <v/>
      </c>
      <c r="E575" s="9" t="str">
        <f>questionnaire!E575</f>
        <v/>
      </c>
      <c r="F575" s="9">
        <f>8-questionnaire!F575</f>
        <v>8</v>
      </c>
      <c r="G575" s="9">
        <f>8-questionnaire!G575</f>
        <v>8</v>
      </c>
      <c r="H575" s="9">
        <f>8-questionnaire!H575</f>
        <v>8</v>
      </c>
      <c r="I575" s="9">
        <f>C575*10+D575*5+E575*1.66-(questionnaire!F575*1.66+questionnaire!G575*5+questionnaire!H575*10)</f>
        <v>0</v>
      </c>
    </row>
    <row r="576">
      <c r="A576" s="8" t="str">
        <f>questionnaire!A576</f>
        <v/>
      </c>
      <c r="B576" s="9" t="str">
        <f>questionnaire!B576</f>
        <v/>
      </c>
      <c r="C576" s="9" t="str">
        <f>questionnaire!C576</f>
        <v/>
      </c>
      <c r="D576" s="9" t="str">
        <f>questionnaire!D576</f>
        <v/>
      </c>
      <c r="E576" s="9" t="str">
        <f>questionnaire!E576</f>
        <v/>
      </c>
      <c r="F576" s="9">
        <f>8-questionnaire!F576</f>
        <v>8</v>
      </c>
      <c r="G576" s="9">
        <f>8-questionnaire!G576</f>
        <v>8</v>
      </c>
      <c r="H576" s="9">
        <f>8-questionnaire!H576</f>
        <v>8</v>
      </c>
      <c r="I576" s="9">
        <f>C576*10+D576*5+E576*1.66-(questionnaire!F576*1.66+questionnaire!G576*5+questionnaire!H576*10)</f>
        <v>0</v>
      </c>
    </row>
    <row r="577">
      <c r="A577" s="8" t="str">
        <f>questionnaire!A577</f>
        <v/>
      </c>
      <c r="B577" s="9" t="str">
        <f>questionnaire!B577</f>
        <v/>
      </c>
      <c r="C577" s="9" t="str">
        <f>questionnaire!C577</f>
        <v/>
      </c>
      <c r="D577" s="9" t="str">
        <f>questionnaire!D577</f>
        <v/>
      </c>
      <c r="E577" s="9" t="str">
        <f>questionnaire!E577</f>
        <v/>
      </c>
      <c r="F577" s="9">
        <f>8-questionnaire!F577</f>
        <v>8</v>
      </c>
      <c r="G577" s="9">
        <f>8-questionnaire!G577</f>
        <v>8</v>
      </c>
      <c r="H577" s="9">
        <f>8-questionnaire!H577</f>
        <v>8</v>
      </c>
      <c r="I577" s="9">
        <f>C577*10+D577*5+E577*1.66-(questionnaire!F577*1.66+questionnaire!G577*5+questionnaire!H577*10)</f>
        <v>0</v>
      </c>
    </row>
    <row r="578">
      <c r="A578" s="8" t="str">
        <f>questionnaire!A578</f>
        <v/>
      </c>
      <c r="B578" s="9" t="str">
        <f>questionnaire!B578</f>
        <v/>
      </c>
      <c r="C578" s="9" t="str">
        <f>questionnaire!C578</f>
        <v/>
      </c>
      <c r="D578" s="9" t="str">
        <f>questionnaire!D578</f>
        <v/>
      </c>
      <c r="E578" s="9" t="str">
        <f>questionnaire!E578</f>
        <v/>
      </c>
      <c r="F578" s="9">
        <f>8-questionnaire!F578</f>
        <v>8</v>
      </c>
      <c r="G578" s="9">
        <f>8-questionnaire!G578</f>
        <v>8</v>
      </c>
      <c r="H578" s="9">
        <f>8-questionnaire!H578</f>
        <v>8</v>
      </c>
      <c r="I578" s="9">
        <f>C578*10+D578*5+E578*1.66-(questionnaire!F578*1.66+questionnaire!G578*5+questionnaire!H578*10)</f>
        <v>0</v>
      </c>
    </row>
    <row r="579">
      <c r="A579" s="8" t="str">
        <f>questionnaire!A579</f>
        <v/>
      </c>
      <c r="B579" s="9" t="str">
        <f>questionnaire!B579</f>
        <v/>
      </c>
      <c r="C579" s="9" t="str">
        <f>questionnaire!C579</f>
        <v/>
      </c>
      <c r="D579" s="9" t="str">
        <f>questionnaire!D579</f>
        <v/>
      </c>
      <c r="E579" s="9" t="str">
        <f>questionnaire!E579</f>
        <v/>
      </c>
      <c r="F579" s="9">
        <f>8-questionnaire!F579</f>
        <v>8</v>
      </c>
      <c r="G579" s="9">
        <f>8-questionnaire!G579</f>
        <v>8</v>
      </c>
      <c r="H579" s="9">
        <f>8-questionnaire!H579</f>
        <v>8</v>
      </c>
      <c r="I579" s="9">
        <f>C579*10+D579*5+E579*1.66-(questionnaire!F579*1.66+questionnaire!G579*5+questionnaire!H579*10)</f>
        <v>0</v>
      </c>
    </row>
    <row r="580">
      <c r="A580" s="8" t="str">
        <f>questionnaire!A580</f>
        <v/>
      </c>
      <c r="B580" s="9" t="str">
        <f>questionnaire!B580</f>
        <v/>
      </c>
      <c r="C580" s="9" t="str">
        <f>questionnaire!C580</f>
        <v/>
      </c>
      <c r="D580" s="9" t="str">
        <f>questionnaire!D580</f>
        <v/>
      </c>
      <c r="E580" s="9" t="str">
        <f>questionnaire!E580</f>
        <v/>
      </c>
      <c r="F580" s="9">
        <f>8-questionnaire!F580</f>
        <v>8</v>
      </c>
      <c r="G580" s="9">
        <f>8-questionnaire!G580</f>
        <v>8</v>
      </c>
      <c r="H580" s="9">
        <f>8-questionnaire!H580</f>
        <v>8</v>
      </c>
      <c r="I580" s="9">
        <f>C580*10+D580*5+E580*1.66-(questionnaire!F580*1.66+questionnaire!G580*5+questionnaire!H580*10)</f>
        <v>0</v>
      </c>
    </row>
    <row r="581">
      <c r="A581" s="8" t="str">
        <f>questionnaire!A581</f>
        <v/>
      </c>
      <c r="B581" s="9" t="str">
        <f>questionnaire!B581</f>
        <v/>
      </c>
      <c r="C581" s="9" t="str">
        <f>questionnaire!C581</f>
        <v/>
      </c>
      <c r="D581" s="9" t="str">
        <f>questionnaire!D581</f>
        <v/>
      </c>
      <c r="E581" s="9" t="str">
        <f>questionnaire!E581</f>
        <v/>
      </c>
      <c r="F581" s="9">
        <f>8-questionnaire!F581</f>
        <v>8</v>
      </c>
      <c r="G581" s="9">
        <f>8-questionnaire!G581</f>
        <v>8</v>
      </c>
      <c r="H581" s="9">
        <f>8-questionnaire!H581</f>
        <v>8</v>
      </c>
      <c r="I581" s="9">
        <f>C581*10+D581*5+E581*1.66-(questionnaire!F581*1.66+questionnaire!G581*5+questionnaire!H581*10)</f>
        <v>0</v>
      </c>
    </row>
    <row r="582">
      <c r="A582" s="8" t="str">
        <f>questionnaire!A582</f>
        <v/>
      </c>
      <c r="B582" s="9" t="str">
        <f>questionnaire!B582</f>
        <v/>
      </c>
      <c r="C582" s="9" t="str">
        <f>questionnaire!C582</f>
        <v/>
      </c>
      <c r="D582" s="9" t="str">
        <f>questionnaire!D582</f>
        <v/>
      </c>
      <c r="E582" s="9" t="str">
        <f>questionnaire!E582</f>
        <v/>
      </c>
      <c r="F582" s="9">
        <f>8-questionnaire!F582</f>
        <v>8</v>
      </c>
      <c r="G582" s="9">
        <f>8-questionnaire!G582</f>
        <v>8</v>
      </c>
      <c r="H582" s="9">
        <f>8-questionnaire!H582</f>
        <v>8</v>
      </c>
      <c r="I582" s="9">
        <f>C582*10+D582*5+E582*1.66-(questionnaire!F582*1.66+questionnaire!G582*5+questionnaire!H582*10)</f>
        <v>0</v>
      </c>
    </row>
    <row r="583">
      <c r="A583" s="8" t="str">
        <f>questionnaire!A583</f>
        <v/>
      </c>
      <c r="B583" s="9" t="str">
        <f>questionnaire!B583</f>
        <v/>
      </c>
      <c r="C583" s="9" t="str">
        <f>questionnaire!C583</f>
        <v/>
      </c>
      <c r="D583" s="9" t="str">
        <f>questionnaire!D583</f>
        <v/>
      </c>
      <c r="E583" s="9" t="str">
        <f>questionnaire!E583</f>
        <v/>
      </c>
      <c r="F583" s="9">
        <f>8-questionnaire!F583</f>
        <v>8</v>
      </c>
      <c r="G583" s="9">
        <f>8-questionnaire!G583</f>
        <v>8</v>
      </c>
      <c r="H583" s="9">
        <f>8-questionnaire!H583</f>
        <v>8</v>
      </c>
      <c r="I583" s="9">
        <f>C583*10+D583*5+E583*1.66-(questionnaire!F583*1.66+questionnaire!G583*5+questionnaire!H583*10)</f>
        <v>0</v>
      </c>
    </row>
    <row r="584">
      <c r="A584" s="8" t="str">
        <f>questionnaire!A584</f>
        <v/>
      </c>
      <c r="B584" s="9" t="str">
        <f>questionnaire!B584</f>
        <v/>
      </c>
      <c r="C584" s="9" t="str">
        <f>questionnaire!C584</f>
        <v/>
      </c>
      <c r="D584" s="9" t="str">
        <f>questionnaire!D584</f>
        <v/>
      </c>
      <c r="E584" s="9" t="str">
        <f>questionnaire!E584</f>
        <v/>
      </c>
      <c r="F584" s="9">
        <f>8-questionnaire!F584</f>
        <v>8</v>
      </c>
      <c r="G584" s="9">
        <f>8-questionnaire!G584</f>
        <v>8</v>
      </c>
      <c r="H584" s="9">
        <f>8-questionnaire!H584</f>
        <v>8</v>
      </c>
      <c r="I584" s="9">
        <f>C584*10+D584*5+E584*1.66-(questionnaire!F584*1.66+questionnaire!G584*5+questionnaire!H584*10)</f>
        <v>0</v>
      </c>
    </row>
    <row r="585">
      <c r="A585" s="8" t="str">
        <f>questionnaire!A585</f>
        <v/>
      </c>
      <c r="B585" s="9" t="str">
        <f>questionnaire!B585</f>
        <v/>
      </c>
      <c r="C585" s="9" t="str">
        <f>questionnaire!C585</f>
        <v/>
      </c>
      <c r="D585" s="9" t="str">
        <f>questionnaire!D585</f>
        <v/>
      </c>
      <c r="E585" s="9" t="str">
        <f>questionnaire!E585</f>
        <v/>
      </c>
      <c r="F585" s="9">
        <f>8-questionnaire!F585</f>
        <v>8</v>
      </c>
      <c r="G585" s="9">
        <f>8-questionnaire!G585</f>
        <v>8</v>
      </c>
      <c r="H585" s="9">
        <f>8-questionnaire!H585</f>
        <v>8</v>
      </c>
      <c r="I585" s="9">
        <f>C585*10+D585*5+E585*1.66-(questionnaire!F585*1.66+questionnaire!G585*5+questionnaire!H585*10)</f>
        <v>0</v>
      </c>
    </row>
    <row r="586">
      <c r="A586" s="8" t="str">
        <f>questionnaire!A586</f>
        <v/>
      </c>
      <c r="B586" s="9" t="str">
        <f>questionnaire!B586</f>
        <v/>
      </c>
      <c r="C586" s="9" t="str">
        <f>questionnaire!C586</f>
        <v/>
      </c>
      <c r="D586" s="9" t="str">
        <f>questionnaire!D586</f>
        <v/>
      </c>
      <c r="E586" s="9" t="str">
        <f>questionnaire!E586</f>
        <v/>
      </c>
      <c r="F586" s="9">
        <f>8-questionnaire!F586</f>
        <v>8</v>
      </c>
      <c r="G586" s="9">
        <f>8-questionnaire!G586</f>
        <v>8</v>
      </c>
      <c r="H586" s="9">
        <f>8-questionnaire!H586</f>
        <v>8</v>
      </c>
      <c r="I586" s="9">
        <f>C586*10+D586*5+E586*1.66-(questionnaire!F586*1.66+questionnaire!G586*5+questionnaire!H586*10)</f>
        <v>0</v>
      </c>
    </row>
    <row r="587">
      <c r="A587" s="8" t="str">
        <f>questionnaire!A587</f>
        <v/>
      </c>
      <c r="B587" s="9" t="str">
        <f>questionnaire!B587</f>
        <v/>
      </c>
      <c r="C587" s="9" t="str">
        <f>questionnaire!C587</f>
        <v/>
      </c>
      <c r="D587" s="9" t="str">
        <f>questionnaire!D587</f>
        <v/>
      </c>
      <c r="E587" s="9" t="str">
        <f>questionnaire!E587</f>
        <v/>
      </c>
      <c r="F587" s="9">
        <f>8-questionnaire!F587</f>
        <v>8</v>
      </c>
      <c r="G587" s="9">
        <f>8-questionnaire!G587</f>
        <v>8</v>
      </c>
      <c r="H587" s="9">
        <f>8-questionnaire!H587</f>
        <v>8</v>
      </c>
      <c r="I587" s="9">
        <f>C587*10+D587*5+E587*1.66-(questionnaire!F587*1.66+questionnaire!G587*5+questionnaire!H587*10)</f>
        <v>0</v>
      </c>
    </row>
    <row r="588">
      <c r="A588" s="8" t="str">
        <f>questionnaire!A588</f>
        <v/>
      </c>
      <c r="B588" s="9" t="str">
        <f>questionnaire!B588</f>
        <v/>
      </c>
      <c r="C588" s="9" t="str">
        <f>questionnaire!C588</f>
        <v/>
      </c>
      <c r="D588" s="9" t="str">
        <f>questionnaire!D588</f>
        <v/>
      </c>
      <c r="E588" s="9" t="str">
        <f>questionnaire!E588</f>
        <v/>
      </c>
      <c r="F588" s="9">
        <f>8-questionnaire!F588</f>
        <v>8</v>
      </c>
      <c r="G588" s="9">
        <f>8-questionnaire!G588</f>
        <v>8</v>
      </c>
      <c r="H588" s="9">
        <f>8-questionnaire!H588</f>
        <v>8</v>
      </c>
      <c r="I588" s="9">
        <f>C588*10+D588*5+E588*1.66-(questionnaire!F588*1.66+questionnaire!G588*5+questionnaire!H588*10)</f>
        <v>0</v>
      </c>
    </row>
    <row r="589">
      <c r="A589" s="8" t="str">
        <f>questionnaire!A589</f>
        <v/>
      </c>
      <c r="B589" s="9" t="str">
        <f>questionnaire!B589</f>
        <v/>
      </c>
      <c r="C589" s="9" t="str">
        <f>questionnaire!C589</f>
        <v/>
      </c>
      <c r="D589" s="9" t="str">
        <f>questionnaire!D589</f>
        <v/>
      </c>
      <c r="E589" s="9" t="str">
        <f>questionnaire!E589</f>
        <v/>
      </c>
      <c r="F589" s="9">
        <f>8-questionnaire!F589</f>
        <v>8</v>
      </c>
      <c r="G589" s="9">
        <f>8-questionnaire!G589</f>
        <v>8</v>
      </c>
      <c r="H589" s="9">
        <f>8-questionnaire!H589</f>
        <v>8</v>
      </c>
      <c r="I589" s="9">
        <f>C589*10+D589*5+E589*1.66-(questionnaire!F589*1.66+questionnaire!G589*5+questionnaire!H589*10)</f>
        <v>0</v>
      </c>
    </row>
    <row r="590">
      <c r="A590" s="8" t="str">
        <f>questionnaire!A590</f>
        <v/>
      </c>
      <c r="B590" s="9" t="str">
        <f>questionnaire!B590</f>
        <v/>
      </c>
      <c r="C590" s="9" t="str">
        <f>questionnaire!C590</f>
        <v/>
      </c>
      <c r="D590" s="9" t="str">
        <f>questionnaire!D590</f>
        <v/>
      </c>
      <c r="E590" s="9" t="str">
        <f>questionnaire!E590</f>
        <v/>
      </c>
      <c r="F590" s="9">
        <f>8-questionnaire!F590</f>
        <v>8</v>
      </c>
      <c r="G590" s="9">
        <f>8-questionnaire!G590</f>
        <v>8</v>
      </c>
      <c r="H590" s="9">
        <f>8-questionnaire!H590</f>
        <v>8</v>
      </c>
      <c r="I590" s="9">
        <f>C590*10+D590*5+E590*1.66-(questionnaire!F590*1.66+questionnaire!G590*5+questionnaire!H590*10)</f>
        <v>0</v>
      </c>
    </row>
    <row r="591">
      <c r="A591" s="8" t="str">
        <f>questionnaire!A591</f>
        <v/>
      </c>
      <c r="B591" s="9" t="str">
        <f>questionnaire!B591</f>
        <v/>
      </c>
      <c r="C591" s="9" t="str">
        <f>questionnaire!C591</f>
        <v/>
      </c>
      <c r="D591" s="9" t="str">
        <f>questionnaire!D591</f>
        <v/>
      </c>
      <c r="E591" s="9" t="str">
        <f>questionnaire!E591</f>
        <v/>
      </c>
      <c r="F591" s="9">
        <f>8-questionnaire!F591</f>
        <v>8</v>
      </c>
      <c r="G591" s="9">
        <f>8-questionnaire!G591</f>
        <v>8</v>
      </c>
      <c r="H591" s="9">
        <f>8-questionnaire!H591</f>
        <v>8</v>
      </c>
      <c r="I591" s="9">
        <f>C591*10+D591*5+E591*1.66-(questionnaire!F591*1.66+questionnaire!G591*5+questionnaire!H591*10)</f>
        <v>0</v>
      </c>
    </row>
    <row r="592">
      <c r="A592" s="8" t="str">
        <f>questionnaire!A592</f>
        <v/>
      </c>
      <c r="B592" s="9" t="str">
        <f>questionnaire!B592</f>
        <v/>
      </c>
      <c r="C592" s="9" t="str">
        <f>questionnaire!C592</f>
        <v/>
      </c>
      <c r="D592" s="9" t="str">
        <f>questionnaire!D592</f>
        <v/>
      </c>
      <c r="E592" s="9" t="str">
        <f>questionnaire!E592</f>
        <v/>
      </c>
      <c r="F592" s="9">
        <f>8-questionnaire!F592</f>
        <v>8</v>
      </c>
      <c r="G592" s="9">
        <f>8-questionnaire!G592</f>
        <v>8</v>
      </c>
      <c r="H592" s="9">
        <f>8-questionnaire!H592</f>
        <v>8</v>
      </c>
      <c r="I592" s="9">
        <f>C592*10+D592*5+E592*1.66-(questionnaire!F592*1.66+questionnaire!G592*5+questionnaire!H592*10)</f>
        <v>0</v>
      </c>
    </row>
    <row r="593">
      <c r="A593" s="8" t="str">
        <f>questionnaire!A593</f>
        <v/>
      </c>
      <c r="B593" s="9" t="str">
        <f>questionnaire!B593</f>
        <v/>
      </c>
      <c r="C593" s="9" t="str">
        <f>questionnaire!C593</f>
        <v/>
      </c>
      <c r="D593" s="9" t="str">
        <f>questionnaire!D593</f>
        <v/>
      </c>
      <c r="E593" s="9" t="str">
        <f>questionnaire!E593</f>
        <v/>
      </c>
      <c r="F593" s="9">
        <f>8-questionnaire!F593</f>
        <v>8</v>
      </c>
      <c r="G593" s="9">
        <f>8-questionnaire!G593</f>
        <v>8</v>
      </c>
      <c r="H593" s="9">
        <f>8-questionnaire!H593</f>
        <v>8</v>
      </c>
      <c r="I593" s="9">
        <f>C593*10+D593*5+E593*1.66-(questionnaire!F593*1.66+questionnaire!G593*5+questionnaire!H593*10)</f>
        <v>0</v>
      </c>
    </row>
    <row r="594">
      <c r="A594" s="8" t="str">
        <f>questionnaire!A594</f>
        <v/>
      </c>
      <c r="B594" s="9" t="str">
        <f>questionnaire!B594</f>
        <v/>
      </c>
      <c r="C594" s="9" t="str">
        <f>questionnaire!C594</f>
        <v/>
      </c>
      <c r="D594" s="9" t="str">
        <f>questionnaire!D594</f>
        <v/>
      </c>
      <c r="E594" s="9" t="str">
        <f>questionnaire!E594</f>
        <v/>
      </c>
      <c r="F594" s="9">
        <f>8-questionnaire!F594</f>
        <v>8</v>
      </c>
      <c r="G594" s="9">
        <f>8-questionnaire!G594</f>
        <v>8</v>
      </c>
      <c r="H594" s="9">
        <f>8-questionnaire!H594</f>
        <v>8</v>
      </c>
      <c r="I594" s="9">
        <f>C594*10+D594*5+E594*1.66-(questionnaire!F594*1.66+questionnaire!G594*5+questionnaire!H594*10)</f>
        <v>0</v>
      </c>
    </row>
    <row r="595">
      <c r="A595" s="8" t="str">
        <f>questionnaire!A595</f>
        <v/>
      </c>
      <c r="B595" s="9" t="str">
        <f>questionnaire!B595</f>
        <v/>
      </c>
      <c r="C595" s="9" t="str">
        <f>questionnaire!C595</f>
        <v/>
      </c>
      <c r="D595" s="9" t="str">
        <f>questionnaire!D595</f>
        <v/>
      </c>
      <c r="E595" s="9" t="str">
        <f>questionnaire!E595</f>
        <v/>
      </c>
      <c r="F595" s="9">
        <f>8-questionnaire!F595</f>
        <v>8</v>
      </c>
      <c r="G595" s="9">
        <f>8-questionnaire!G595</f>
        <v>8</v>
      </c>
      <c r="H595" s="9">
        <f>8-questionnaire!H595</f>
        <v>8</v>
      </c>
      <c r="I595" s="9">
        <f>C595*10+D595*5+E595*1.66-(questionnaire!F595*1.66+questionnaire!G595*5+questionnaire!H595*10)</f>
        <v>0</v>
      </c>
    </row>
    <row r="596">
      <c r="A596" s="8" t="str">
        <f>questionnaire!A596</f>
        <v/>
      </c>
      <c r="B596" s="9" t="str">
        <f>questionnaire!B596</f>
        <v/>
      </c>
      <c r="C596" s="9" t="str">
        <f>questionnaire!C596</f>
        <v/>
      </c>
      <c r="D596" s="9" t="str">
        <f>questionnaire!D596</f>
        <v/>
      </c>
      <c r="E596" s="9" t="str">
        <f>questionnaire!E596</f>
        <v/>
      </c>
      <c r="F596" s="9">
        <f>8-questionnaire!F596</f>
        <v>8</v>
      </c>
      <c r="G596" s="9">
        <f>8-questionnaire!G596</f>
        <v>8</v>
      </c>
      <c r="H596" s="9">
        <f>8-questionnaire!H596</f>
        <v>8</v>
      </c>
      <c r="I596" s="9">
        <f>C596*10+D596*5+E596*1.66-(questionnaire!F596*1.66+questionnaire!G596*5+questionnaire!H596*10)</f>
        <v>0</v>
      </c>
    </row>
    <row r="597">
      <c r="A597" s="8" t="str">
        <f>questionnaire!A597</f>
        <v/>
      </c>
      <c r="B597" s="9" t="str">
        <f>questionnaire!B597</f>
        <v/>
      </c>
      <c r="C597" s="9" t="str">
        <f>questionnaire!C597</f>
        <v/>
      </c>
      <c r="D597" s="9" t="str">
        <f>questionnaire!D597</f>
        <v/>
      </c>
      <c r="E597" s="9" t="str">
        <f>questionnaire!E597</f>
        <v/>
      </c>
      <c r="F597" s="9">
        <f>8-questionnaire!F597</f>
        <v>8</v>
      </c>
      <c r="G597" s="9">
        <f>8-questionnaire!G597</f>
        <v>8</v>
      </c>
      <c r="H597" s="9">
        <f>8-questionnaire!H597</f>
        <v>8</v>
      </c>
      <c r="I597" s="9">
        <f>C597*10+D597*5+E597*1.66-(questionnaire!F597*1.66+questionnaire!G597*5+questionnaire!H597*10)</f>
        <v>0</v>
      </c>
    </row>
    <row r="598">
      <c r="A598" s="8" t="str">
        <f>questionnaire!A598</f>
        <v/>
      </c>
      <c r="B598" s="9" t="str">
        <f>questionnaire!B598</f>
        <v/>
      </c>
      <c r="C598" s="9" t="str">
        <f>questionnaire!C598</f>
        <v/>
      </c>
      <c r="D598" s="9" t="str">
        <f>questionnaire!D598</f>
        <v/>
      </c>
      <c r="E598" s="9" t="str">
        <f>questionnaire!E598</f>
        <v/>
      </c>
      <c r="F598" s="9">
        <f>8-questionnaire!F598</f>
        <v>8</v>
      </c>
      <c r="G598" s="9">
        <f>8-questionnaire!G598</f>
        <v>8</v>
      </c>
      <c r="H598" s="9">
        <f>8-questionnaire!H598</f>
        <v>8</v>
      </c>
      <c r="I598" s="9">
        <f>C598*10+D598*5+E598*1.66-(questionnaire!F598*1.66+questionnaire!G598*5+questionnaire!H598*10)</f>
        <v>0</v>
      </c>
    </row>
    <row r="599">
      <c r="A599" s="8" t="str">
        <f>questionnaire!A599</f>
        <v/>
      </c>
      <c r="B599" s="9" t="str">
        <f>questionnaire!B599</f>
        <v/>
      </c>
      <c r="C599" s="9" t="str">
        <f>questionnaire!C599</f>
        <v/>
      </c>
      <c r="D599" s="9" t="str">
        <f>questionnaire!D599</f>
        <v/>
      </c>
      <c r="E599" s="9" t="str">
        <f>questionnaire!E599</f>
        <v/>
      </c>
      <c r="F599" s="9">
        <f>8-questionnaire!F599</f>
        <v>8</v>
      </c>
      <c r="G599" s="9">
        <f>8-questionnaire!G599</f>
        <v>8</v>
      </c>
      <c r="H599" s="9">
        <f>8-questionnaire!H599</f>
        <v>8</v>
      </c>
      <c r="I599" s="9">
        <f>C599*10+D599*5+E599*1.66-(questionnaire!F599*1.66+questionnaire!G599*5+questionnaire!H599*10)</f>
        <v>0</v>
      </c>
    </row>
    <row r="600">
      <c r="A600" s="8" t="str">
        <f>questionnaire!A600</f>
        <v/>
      </c>
      <c r="B600" s="9" t="str">
        <f>questionnaire!B600</f>
        <v/>
      </c>
      <c r="C600" s="9" t="str">
        <f>questionnaire!C600</f>
        <v/>
      </c>
      <c r="D600" s="9" t="str">
        <f>questionnaire!D600</f>
        <v/>
      </c>
      <c r="E600" s="9" t="str">
        <f>questionnaire!E600</f>
        <v/>
      </c>
      <c r="F600" s="9">
        <f>8-questionnaire!F600</f>
        <v>8</v>
      </c>
      <c r="G600" s="9">
        <f>8-questionnaire!G600</f>
        <v>8</v>
      </c>
      <c r="H600" s="9">
        <f>8-questionnaire!H600</f>
        <v>8</v>
      </c>
      <c r="I600" s="9">
        <f>C600*10+D600*5+E600*1.66-(questionnaire!F600*1.66+questionnaire!G600*5+questionnaire!H600*10)</f>
        <v>0</v>
      </c>
    </row>
    <row r="601">
      <c r="A601" s="8" t="str">
        <f>questionnaire!A601</f>
        <v/>
      </c>
      <c r="B601" s="9" t="str">
        <f>questionnaire!B601</f>
        <v/>
      </c>
      <c r="C601" s="9" t="str">
        <f>questionnaire!C601</f>
        <v/>
      </c>
      <c r="D601" s="9" t="str">
        <f>questionnaire!D601</f>
        <v/>
      </c>
      <c r="E601" s="9" t="str">
        <f>questionnaire!E601</f>
        <v/>
      </c>
      <c r="F601" s="9">
        <f>8-questionnaire!F601</f>
        <v>8</v>
      </c>
      <c r="G601" s="9">
        <f>8-questionnaire!G601</f>
        <v>8</v>
      </c>
      <c r="H601" s="9">
        <f>8-questionnaire!H601</f>
        <v>8</v>
      </c>
      <c r="I601" s="9">
        <f>C601*10+D601*5+E601*1.66-(questionnaire!F601*1.66+questionnaire!G601*5+questionnaire!H601*10)</f>
        <v>0</v>
      </c>
    </row>
    <row r="602">
      <c r="A602" s="8" t="str">
        <f>questionnaire!A602</f>
        <v/>
      </c>
      <c r="B602" s="9" t="str">
        <f>questionnaire!B602</f>
        <v/>
      </c>
      <c r="C602" s="9" t="str">
        <f>questionnaire!C602</f>
        <v/>
      </c>
      <c r="D602" s="9" t="str">
        <f>questionnaire!D602</f>
        <v/>
      </c>
      <c r="E602" s="9" t="str">
        <f>questionnaire!E602</f>
        <v/>
      </c>
      <c r="F602" s="9">
        <f>8-questionnaire!F602</f>
        <v>8</v>
      </c>
      <c r="G602" s="9">
        <f>8-questionnaire!G602</f>
        <v>8</v>
      </c>
      <c r="H602" s="9">
        <f>8-questionnaire!H602</f>
        <v>8</v>
      </c>
      <c r="I602" s="9">
        <f>C602*10+D602*5+E602*1.66-(questionnaire!F602*1.66+questionnaire!G602*5+questionnaire!H602*10)</f>
        <v>0</v>
      </c>
    </row>
    <row r="603">
      <c r="A603" s="8" t="str">
        <f>questionnaire!A603</f>
        <v/>
      </c>
      <c r="B603" s="9" t="str">
        <f>questionnaire!B603</f>
        <v/>
      </c>
      <c r="C603" s="9" t="str">
        <f>questionnaire!C603</f>
        <v/>
      </c>
      <c r="D603" s="9" t="str">
        <f>questionnaire!D603</f>
        <v/>
      </c>
      <c r="E603" s="9" t="str">
        <f>questionnaire!E603</f>
        <v/>
      </c>
      <c r="F603" s="9">
        <f>8-questionnaire!F603</f>
        <v>8</v>
      </c>
      <c r="G603" s="9">
        <f>8-questionnaire!G603</f>
        <v>8</v>
      </c>
      <c r="H603" s="9">
        <f>8-questionnaire!H603</f>
        <v>8</v>
      </c>
      <c r="I603" s="9">
        <f>C603*10+D603*5+E603*1.66-(questionnaire!F603*1.66+questionnaire!G603*5+questionnaire!H603*10)</f>
        <v>0</v>
      </c>
    </row>
    <row r="604">
      <c r="A604" s="8" t="str">
        <f>questionnaire!A604</f>
        <v/>
      </c>
      <c r="B604" s="9" t="str">
        <f>questionnaire!B604</f>
        <v/>
      </c>
      <c r="C604" s="9" t="str">
        <f>questionnaire!C604</f>
        <v/>
      </c>
      <c r="D604" s="9" t="str">
        <f>questionnaire!D604</f>
        <v/>
      </c>
      <c r="E604" s="9" t="str">
        <f>questionnaire!E604</f>
        <v/>
      </c>
      <c r="F604" s="9">
        <f>8-questionnaire!F604</f>
        <v>8</v>
      </c>
      <c r="G604" s="9">
        <f>8-questionnaire!G604</f>
        <v>8</v>
      </c>
      <c r="H604" s="9">
        <f>8-questionnaire!H604</f>
        <v>8</v>
      </c>
      <c r="I604" s="9">
        <f>C604*10+D604*5+E604*1.66-(questionnaire!F604*1.66+questionnaire!G604*5+questionnaire!H604*10)</f>
        <v>0</v>
      </c>
    </row>
    <row r="605">
      <c r="A605" s="8" t="str">
        <f>questionnaire!A605</f>
        <v/>
      </c>
      <c r="B605" s="9" t="str">
        <f>questionnaire!B605</f>
        <v/>
      </c>
      <c r="C605" s="9" t="str">
        <f>questionnaire!C605</f>
        <v/>
      </c>
      <c r="D605" s="9" t="str">
        <f>questionnaire!D605</f>
        <v/>
      </c>
      <c r="E605" s="9" t="str">
        <f>questionnaire!E605</f>
        <v/>
      </c>
      <c r="F605" s="9">
        <f>8-questionnaire!F605</f>
        <v>8</v>
      </c>
      <c r="G605" s="9">
        <f>8-questionnaire!G605</f>
        <v>8</v>
      </c>
      <c r="H605" s="9">
        <f>8-questionnaire!H605</f>
        <v>8</v>
      </c>
      <c r="I605" s="9">
        <f>C605*10+D605*5+E605*1.66-(questionnaire!F605*1.66+questionnaire!G605*5+questionnaire!H605*10)</f>
        <v>0</v>
      </c>
    </row>
    <row r="606">
      <c r="A606" s="8" t="str">
        <f>questionnaire!A606</f>
        <v/>
      </c>
      <c r="B606" s="9" t="str">
        <f>questionnaire!B606</f>
        <v/>
      </c>
      <c r="C606" s="9" t="str">
        <f>questionnaire!C606</f>
        <v/>
      </c>
      <c r="D606" s="9" t="str">
        <f>questionnaire!D606</f>
        <v/>
      </c>
      <c r="E606" s="9" t="str">
        <f>questionnaire!E606</f>
        <v/>
      </c>
      <c r="F606" s="9">
        <f>8-questionnaire!F606</f>
        <v>8</v>
      </c>
      <c r="G606" s="9">
        <f>8-questionnaire!G606</f>
        <v>8</v>
      </c>
      <c r="H606" s="9">
        <f>8-questionnaire!H606</f>
        <v>8</v>
      </c>
      <c r="I606" s="9">
        <f>C606*10+D606*5+E606*1.66-(questionnaire!F606*1.66+questionnaire!G606*5+questionnaire!H606*10)</f>
        <v>0</v>
      </c>
    </row>
    <row r="607">
      <c r="A607" s="8" t="str">
        <f>questionnaire!A607</f>
        <v/>
      </c>
      <c r="B607" s="9" t="str">
        <f>questionnaire!B607</f>
        <v/>
      </c>
      <c r="C607" s="9" t="str">
        <f>questionnaire!C607</f>
        <v/>
      </c>
      <c r="D607" s="9" t="str">
        <f>questionnaire!D607</f>
        <v/>
      </c>
      <c r="E607" s="9" t="str">
        <f>questionnaire!E607</f>
        <v/>
      </c>
      <c r="F607" s="9">
        <f>8-questionnaire!F607</f>
        <v>8</v>
      </c>
      <c r="G607" s="9">
        <f>8-questionnaire!G607</f>
        <v>8</v>
      </c>
      <c r="H607" s="9">
        <f>8-questionnaire!H607</f>
        <v>8</v>
      </c>
      <c r="I607" s="9">
        <f>C607*10+D607*5+E607*1.66-(questionnaire!F607*1.66+questionnaire!G607*5+questionnaire!H607*10)</f>
        <v>0</v>
      </c>
    </row>
    <row r="608">
      <c r="A608" s="8" t="str">
        <f>questionnaire!A608</f>
        <v/>
      </c>
      <c r="B608" s="9" t="str">
        <f>questionnaire!B608</f>
        <v/>
      </c>
      <c r="C608" s="9" t="str">
        <f>questionnaire!C608</f>
        <v/>
      </c>
      <c r="D608" s="9" t="str">
        <f>questionnaire!D608</f>
        <v/>
      </c>
      <c r="E608" s="9" t="str">
        <f>questionnaire!E608</f>
        <v/>
      </c>
      <c r="F608" s="9">
        <f>8-questionnaire!F608</f>
        <v>8</v>
      </c>
      <c r="G608" s="9">
        <f>8-questionnaire!G608</f>
        <v>8</v>
      </c>
      <c r="H608" s="9">
        <f>8-questionnaire!H608</f>
        <v>8</v>
      </c>
      <c r="I608" s="9">
        <f>C608*10+D608*5+E608*1.66-(questionnaire!F608*1.66+questionnaire!G608*5+questionnaire!H608*10)</f>
        <v>0</v>
      </c>
    </row>
    <row r="609">
      <c r="A609" s="8" t="str">
        <f>questionnaire!A609</f>
        <v/>
      </c>
      <c r="B609" s="9" t="str">
        <f>questionnaire!B609</f>
        <v/>
      </c>
      <c r="C609" s="9" t="str">
        <f>questionnaire!C609</f>
        <v/>
      </c>
      <c r="D609" s="9" t="str">
        <f>questionnaire!D609</f>
        <v/>
      </c>
      <c r="E609" s="9" t="str">
        <f>questionnaire!E609</f>
        <v/>
      </c>
      <c r="F609" s="9">
        <f>8-questionnaire!F609</f>
        <v>8</v>
      </c>
      <c r="G609" s="9">
        <f>8-questionnaire!G609</f>
        <v>8</v>
      </c>
      <c r="H609" s="9">
        <f>8-questionnaire!H609</f>
        <v>8</v>
      </c>
      <c r="I609" s="9">
        <f>C609*10+D609*5+E609*1.66-(questionnaire!F609*1.66+questionnaire!G609*5+questionnaire!H609*10)</f>
        <v>0</v>
      </c>
    </row>
    <row r="610">
      <c r="A610" s="8" t="str">
        <f>questionnaire!A610</f>
        <v/>
      </c>
      <c r="B610" s="9" t="str">
        <f>questionnaire!B610</f>
        <v/>
      </c>
      <c r="C610" s="9" t="str">
        <f>questionnaire!C610</f>
        <v/>
      </c>
      <c r="D610" s="9" t="str">
        <f>questionnaire!D610</f>
        <v/>
      </c>
      <c r="E610" s="9" t="str">
        <f>questionnaire!E610</f>
        <v/>
      </c>
      <c r="F610" s="9">
        <f>8-questionnaire!F610</f>
        <v>8</v>
      </c>
      <c r="G610" s="9">
        <f>8-questionnaire!G610</f>
        <v>8</v>
      </c>
      <c r="H610" s="9">
        <f>8-questionnaire!H610</f>
        <v>8</v>
      </c>
      <c r="I610" s="9">
        <f>C610*10+D610*5+E610*1.66-(questionnaire!F610*1.66+questionnaire!G610*5+questionnaire!H610*10)</f>
        <v>0</v>
      </c>
    </row>
    <row r="611">
      <c r="A611" s="8" t="str">
        <f>questionnaire!A611</f>
        <v/>
      </c>
      <c r="B611" s="9" t="str">
        <f>questionnaire!B611</f>
        <v/>
      </c>
      <c r="C611" s="9" t="str">
        <f>questionnaire!C611</f>
        <v/>
      </c>
      <c r="D611" s="9" t="str">
        <f>questionnaire!D611</f>
        <v/>
      </c>
      <c r="E611" s="9" t="str">
        <f>questionnaire!E611</f>
        <v/>
      </c>
      <c r="F611" s="9">
        <f>8-questionnaire!F611</f>
        <v>8</v>
      </c>
      <c r="G611" s="9">
        <f>8-questionnaire!G611</f>
        <v>8</v>
      </c>
      <c r="H611" s="9">
        <f>8-questionnaire!H611</f>
        <v>8</v>
      </c>
      <c r="I611" s="9">
        <f>C611*10+D611*5+E611*1.66-(questionnaire!F611*1.66+questionnaire!G611*5+questionnaire!H611*10)</f>
        <v>0</v>
      </c>
    </row>
    <row r="612">
      <c r="A612" s="8" t="str">
        <f>questionnaire!A612</f>
        <v/>
      </c>
      <c r="B612" s="9" t="str">
        <f>questionnaire!B612</f>
        <v/>
      </c>
      <c r="C612" s="9" t="str">
        <f>questionnaire!C612</f>
        <v/>
      </c>
      <c r="D612" s="9" t="str">
        <f>questionnaire!D612</f>
        <v/>
      </c>
      <c r="E612" s="9" t="str">
        <f>questionnaire!E612</f>
        <v/>
      </c>
      <c r="F612" s="9">
        <f>8-questionnaire!F612</f>
        <v>8</v>
      </c>
      <c r="G612" s="9">
        <f>8-questionnaire!G612</f>
        <v>8</v>
      </c>
      <c r="H612" s="9">
        <f>8-questionnaire!H612</f>
        <v>8</v>
      </c>
      <c r="I612" s="9">
        <f>C612*10+D612*5+E612*1.66-(questionnaire!F612*1.66+questionnaire!G612*5+questionnaire!H612*10)</f>
        <v>0</v>
      </c>
    </row>
    <row r="613">
      <c r="A613" s="8" t="str">
        <f>questionnaire!A613</f>
        <v/>
      </c>
      <c r="B613" s="9" t="str">
        <f>questionnaire!B613</f>
        <v/>
      </c>
      <c r="C613" s="9" t="str">
        <f>questionnaire!C613</f>
        <v/>
      </c>
      <c r="D613" s="9" t="str">
        <f>questionnaire!D613</f>
        <v/>
      </c>
      <c r="E613" s="9" t="str">
        <f>questionnaire!E613</f>
        <v/>
      </c>
      <c r="F613" s="9">
        <f>8-questionnaire!F613</f>
        <v>8</v>
      </c>
      <c r="G613" s="9">
        <f>8-questionnaire!G613</f>
        <v>8</v>
      </c>
      <c r="H613" s="9">
        <f>8-questionnaire!H613</f>
        <v>8</v>
      </c>
      <c r="I613" s="9">
        <f>C613*10+D613*5+E613*1.66-(questionnaire!F613*1.66+questionnaire!G613*5+questionnaire!H613*10)</f>
        <v>0</v>
      </c>
    </row>
    <row r="614">
      <c r="A614" s="8" t="str">
        <f>questionnaire!A614</f>
        <v/>
      </c>
      <c r="B614" s="9" t="str">
        <f>questionnaire!B614</f>
        <v/>
      </c>
      <c r="C614" s="9" t="str">
        <f>questionnaire!C614</f>
        <v/>
      </c>
      <c r="D614" s="9" t="str">
        <f>questionnaire!D614</f>
        <v/>
      </c>
      <c r="E614" s="9" t="str">
        <f>questionnaire!E614</f>
        <v/>
      </c>
      <c r="F614" s="9">
        <f>8-questionnaire!F614</f>
        <v>8</v>
      </c>
      <c r="G614" s="9">
        <f>8-questionnaire!G614</f>
        <v>8</v>
      </c>
      <c r="H614" s="9">
        <f>8-questionnaire!H614</f>
        <v>8</v>
      </c>
      <c r="I614" s="9">
        <f>C614*10+D614*5+E614*1.66-(questionnaire!F614*1.66+questionnaire!G614*5+questionnaire!H614*10)</f>
        <v>0</v>
      </c>
    </row>
    <row r="615">
      <c r="A615" s="8" t="str">
        <f>questionnaire!A615</f>
        <v/>
      </c>
      <c r="B615" s="9" t="str">
        <f>questionnaire!B615</f>
        <v/>
      </c>
      <c r="C615" s="9" t="str">
        <f>questionnaire!C615</f>
        <v/>
      </c>
      <c r="D615" s="9" t="str">
        <f>questionnaire!D615</f>
        <v/>
      </c>
      <c r="E615" s="9" t="str">
        <f>questionnaire!E615</f>
        <v/>
      </c>
      <c r="F615" s="9">
        <f>8-questionnaire!F615</f>
        <v>8</v>
      </c>
      <c r="G615" s="9">
        <f>8-questionnaire!G615</f>
        <v>8</v>
      </c>
      <c r="H615" s="9">
        <f>8-questionnaire!H615</f>
        <v>8</v>
      </c>
      <c r="I615" s="9">
        <f>C615*10+D615*5+E615*1.66-(questionnaire!F615*1.66+questionnaire!G615*5+questionnaire!H615*10)</f>
        <v>0</v>
      </c>
    </row>
    <row r="616">
      <c r="A616" s="8" t="str">
        <f>questionnaire!A616</f>
        <v/>
      </c>
      <c r="B616" s="9" t="str">
        <f>questionnaire!B616</f>
        <v/>
      </c>
      <c r="C616" s="9" t="str">
        <f>questionnaire!C616</f>
        <v/>
      </c>
      <c r="D616" s="9" t="str">
        <f>questionnaire!D616</f>
        <v/>
      </c>
      <c r="E616" s="9" t="str">
        <f>questionnaire!E616</f>
        <v/>
      </c>
      <c r="F616" s="9">
        <f>8-questionnaire!F616</f>
        <v>8</v>
      </c>
      <c r="G616" s="9">
        <f>8-questionnaire!G616</f>
        <v>8</v>
      </c>
      <c r="H616" s="9">
        <f>8-questionnaire!H616</f>
        <v>8</v>
      </c>
      <c r="I616" s="9">
        <f>C616*10+D616*5+E616*1.66-(questionnaire!F616*1.66+questionnaire!G616*5+questionnaire!H616*10)</f>
        <v>0</v>
      </c>
    </row>
    <row r="617">
      <c r="A617" s="8" t="str">
        <f>questionnaire!A617</f>
        <v/>
      </c>
      <c r="B617" s="9" t="str">
        <f>questionnaire!B617</f>
        <v/>
      </c>
      <c r="C617" s="9" t="str">
        <f>questionnaire!C617</f>
        <v/>
      </c>
      <c r="D617" s="9" t="str">
        <f>questionnaire!D617</f>
        <v/>
      </c>
      <c r="E617" s="9" t="str">
        <f>questionnaire!E617</f>
        <v/>
      </c>
      <c r="F617" s="9">
        <f>8-questionnaire!F617</f>
        <v>8</v>
      </c>
      <c r="G617" s="9">
        <f>8-questionnaire!G617</f>
        <v>8</v>
      </c>
      <c r="H617" s="9">
        <f>8-questionnaire!H617</f>
        <v>8</v>
      </c>
      <c r="I617" s="9">
        <f>C617*10+D617*5+E617*1.66-(questionnaire!F617*1.66+questionnaire!G617*5+questionnaire!H617*10)</f>
        <v>0</v>
      </c>
    </row>
    <row r="618">
      <c r="A618" s="8" t="str">
        <f>questionnaire!A618</f>
        <v/>
      </c>
      <c r="B618" s="9" t="str">
        <f>questionnaire!B618</f>
        <v/>
      </c>
      <c r="C618" s="9" t="str">
        <f>questionnaire!C618</f>
        <v/>
      </c>
      <c r="D618" s="9" t="str">
        <f>questionnaire!D618</f>
        <v/>
      </c>
      <c r="E618" s="9" t="str">
        <f>questionnaire!E618</f>
        <v/>
      </c>
      <c r="F618" s="9">
        <f>8-questionnaire!F618</f>
        <v>8</v>
      </c>
      <c r="G618" s="9">
        <f>8-questionnaire!G618</f>
        <v>8</v>
      </c>
      <c r="H618" s="9">
        <f>8-questionnaire!H618</f>
        <v>8</v>
      </c>
      <c r="I618" s="9">
        <f>C618*10+D618*5+E618*1.66-(questionnaire!F618*1.66+questionnaire!G618*5+questionnaire!H618*10)</f>
        <v>0</v>
      </c>
    </row>
    <row r="619">
      <c r="A619" s="8" t="str">
        <f>questionnaire!A619</f>
        <v/>
      </c>
      <c r="B619" s="9" t="str">
        <f>questionnaire!B619</f>
        <v/>
      </c>
      <c r="C619" s="9" t="str">
        <f>questionnaire!C619</f>
        <v/>
      </c>
      <c r="D619" s="9" t="str">
        <f>questionnaire!D619</f>
        <v/>
      </c>
      <c r="E619" s="9" t="str">
        <f>questionnaire!E619</f>
        <v/>
      </c>
      <c r="F619" s="9">
        <f>8-questionnaire!F619</f>
        <v>8</v>
      </c>
      <c r="G619" s="9">
        <f>8-questionnaire!G619</f>
        <v>8</v>
      </c>
      <c r="H619" s="9">
        <f>8-questionnaire!H619</f>
        <v>8</v>
      </c>
      <c r="I619" s="9">
        <f>C619*10+D619*5+E619*1.66-(questionnaire!F619*1.66+questionnaire!G619*5+questionnaire!H619*10)</f>
        <v>0</v>
      </c>
    </row>
    <row r="620">
      <c r="A620" s="8" t="str">
        <f>questionnaire!A620</f>
        <v/>
      </c>
      <c r="B620" s="9" t="str">
        <f>questionnaire!B620</f>
        <v/>
      </c>
      <c r="C620" s="9" t="str">
        <f>questionnaire!C620</f>
        <v/>
      </c>
      <c r="D620" s="9" t="str">
        <f>questionnaire!D620</f>
        <v/>
      </c>
      <c r="E620" s="9" t="str">
        <f>questionnaire!E620</f>
        <v/>
      </c>
      <c r="F620" s="9">
        <f>8-questionnaire!F620</f>
        <v>8</v>
      </c>
      <c r="G620" s="9">
        <f>8-questionnaire!G620</f>
        <v>8</v>
      </c>
      <c r="H620" s="9">
        <f>8-questionnaire!H620</f>
        <v>8</v>
      </c>
      <c r="I620" s="9">
        <f>C620*10+D620*5+E620*1.66-(questionnaire!F620*1.66+questionnaire!G620*5+questionnaire!H620*10)</f>
        <v>0</v>
      </c>
    </row>
    <row r="621">
      <c r="A621" s="8" t="str">
        <f>questionnaire!A621</f>
        <v/>
      </c>
      <c r="B621" s="9" t="str">
        <f>questionnaire!B621</f>
        <v/>
      </c>
      <c r="C621" s="9" t="str">
        <f>questionnaire!C621</f>
        <v/>
      </c>
      <c r="D621" s="9" t="str">
        <f>questionnaire!D621</f>
        <v/>
      </c>
      <c r="E621" s="9" t="str">
        <f>questionnaire!E621</f>
        <v/>
      </c>
      <c r="F621" s="9">
        <f>8-questionnaire!F621</f>
        <v>8</v>
      </c>
      <c r="G621" s="9">
        <f>8-questionnaire!G621</f>
        <v>8</v>
      </c>
      <c r="H621" s="9">
        <f>8-questionnaire!H621</f>
        <v>8</v>
      </c>
      <c r="I621" s="9">
        <f>C621*10+D621*5+E621*1.66-(questionnaire!F621*1.66+questionnaire!G621*5+questionnaire!H621*10)</f>
        <v>0</v>
      </c>
    </row>
    <row r="622">
      <c r="A622" s="8" t="str">
        <f>questionnaire!A622</f>
        <v/>
      </c>
      <c r="B622" s="9" t="str">
        <f>questionnaire!B622</f>
        <v/>
      </c>
      <c r="C622" s="9" t="str">
        <f>questionnaire!C622</f>
        <v/>
      </c>
      <c r="D622" s="9" t="str">
        <f>questionnaire!D622</f>
        <v/>
      </c>
      <c r="E622" s="9" t="str">
        <f>questionnaire!E622</f>
        <v/>
      </c>
      <c r="F622" s="9">
        <f>8-questionnaire!F622</f>
        <v>8</v>
      </c>
      <c r="G622" s="9">
        <f>8-questionnaire!G622</f>
        <v>8</v>
      </c>
      <c r="H622" s="9">
        <f>8-questionnaire!H622</f>
        <v>8</v>
      </c>
      <c r="I622" s="9">
        <f>C622*10+D622*5+E622*1.66-(questionnaire!F622*1.66+questionnaire!G622*5+questionnaire!H622*10)</f>
        <v>0</v>
      </c>
    </row>
    <row r="623">
      <c r="A623" s="8" t="str">
        <f>questionnaire!A623</f>
        <v/>
      </c>
      <c r="B623" s="9" t="str">
        <f>questionnaire!B623</f>
        <v/>
      </c>
      <c r="C623" s="9" t="str">
        <f>questionnaire!C623</f>
        <v/>
      </c>
      <c r="D623" s="9" t="str">
        <f>questionnaire!D623</f>
        <v/>
      </c>
      <c r="E623" s="9" t="str">
        <f>questionnaire!E623</f>
        <v/>
      </c>
      <c r="F623" s="9">
        <f>8-questionnaire!F623</f>
        <v>8</v>
      </c>
      <c r="G623" s="9">
        <f>8-questionnaire!G623</f>
        <v>8</v>
      </c>
      <c r="H623" s="9">
        <f>8-questionnaire!H623</f>
        <v>8</v>
      </c>
      <c r="I623" s="9">
        <f>C623*10+D623*5+E623*1.66-(questionnaire!F623*1.66+questionnaire!G623*5+questionnaire!H623*10)</f>
        <v>0</v>
      </c>
    </row>
    <row r="624">
      <c r="A624" s="8" t="str">
        <f>questionnaire!A624</f>
        <v/>
      </c>
      <c r="B624" s="9" t="str">
        <f>questionnaire!B624</f>
        <v/>
      </c>
      <c r="C624" s="9" t="str">
        <f>questionnaire!C624</f>
        <v/>
      </c>
      <c r="D624" s="9" t="str">
        <f>questionnaire!D624</f>
        <v/>
      </c>
      <c r="E624" s="9" t="str">
        <f>questionnaire!E624</f>
        <v/>
      </c>
      <c r="F624" s="9">
        <f>8-questionnaire!F624</f>
        <v>8</v>
      </c>
      <c r="G624" s="9">
        <f>8-questionnaire!G624</f>
        <v>8</v>
      </c>
      <c r="H624" s="9">
        <f>8-questionnaire!H624</f>
        <v>8</v>
      </c>
      <c r="I624" s="9">
        <f>C624*10+D624*5+E624*1.66-(questionnaire!F624*1.66+questionnaire!G624*5+questionnaire!H624*10)</f>
        <v>0</v>
      </c>
    </row>
    <row r="625">
      <c r="A625" s="8" t="str">
        <f>questionnaire!A625</f>
        <v/>
      </c>
      <c r="B625" s="9" t="str">
        <f>questionnaire!B625</f>
        <v/>
      </c>
      <c r="C625" s="9" t="str">
        <f>questionnaire!C625</f>
        <v/>
      </c>
      <c r="D625" s="9" t="str">
        <f>questionnaire!D625</f>
        <v/>
      </c>
      <c r="E625" s="9" t="str">
        <f>questionnaire!E625</f>
        <v/>
      </c>
      <c r="F625" s="9">
        <f>8-questionnaire!F625</f>
        <v>8</v>
      </c>
      <c r="G625" s="9">
        <f>8-questionnaire!G625</f>
        <v>8</v>
      </c>
      <c r="H625" s="9">
        <f>8-questionnaire!H625</f>
        <v>8</v>
      </c>
      <c r="I625" s="9">
        <f>C625*10+D625*5+E625*1.66-(questionnaire!F625*1.66+questionnaire!G625*5+questionnaire!H625*10)</f>
        <v>0</v>
      </c>
    </row>
    <row r="626">
      <c r="A626" s="8" t="str">
        <f>questionnaire!A626</f>
        <v/>
      </c>
      <c r="B626" s="9" t="str">
        <f>questionnaire!B626</f>
        <v/>
      </c>
      <c r="C626" s="9" t="str">
        <f>questionnaire!C626</f>
        <v/>
      </c>
      <c r="D626" s="9" t="str">
        <f>questionnaire!D626</f>
        <v/>
      </c>
      <c r="E626" s="9" t="str">
        <f>questionnaire!E626</f>
        <v/>
      </c>
      <c r="F626" s="9">
        <f>8-questionnaire!F626</f>
        <v>8</v>
      </c>
      <c r="G626" s="9">
        <f>8-questionnaire!G626</f>
        <v>8</v>
      </c>
      <c r="H626" s="9">
        <f>8-questionnaire!H626</f>
        <v>8</v>
      </c>
      <c r="I626" s="9">
        <f>C626*10+D626*5+E626*1.66-(questionnaire!F626*1.66+questionnaire!G626*5+questionnaire!H626*10)</f>
        <v>0</v>
      </c>
    </row>
    <row r="627">
      <c r="A627" s="8" t="str">
        <f>questionnaire!A627</f>
        <v/>
      </c>
      <c r="B627" s="9" t="str">
        <f>questionnaire!B627</f>
        <v/>
      </c>
      <c r="C627" s="9" t="str">
        <f>questionnaire!C627</f>
        <v/>
      </c>
      <c r="D627" s="9" t="str">
        <f>questionnaire!D627</f>
        <v/>
      </c>
      <c r="E627" s="9" t="str">
        <f>questionnaire!E627</f>
        <v/>
      </c>
      <c r="F627" s="9">
        <f>8-questionnaire!F627</f>
        <v>8</v>
      </c>
      <c r="G627" s="9">
        <f>8-questionnaire!G627</f>
        <v>8</v>
      </c>
      <c r="H627" s="9">
        <f>8-questionnaire!H627</f>
        <v>8</v>
      </c>
      <c r="I627" s="9">
        <f>C627*10+D627*5+E627*1.66-(questionnaire!F627*1.66+questionnaire!G627*5+questionnaire!H627*10)</f>
        <v>0</v>
      </c>
    </row>
    <row r="628">
      <c r="A628" s="8" t="str">
        <f>questionnaire!A628</f>
        <v/>
      </c>
      <c r="B628" s="9" t="str">
        <f>questionnaire!B628</f>
        <v/>
      </c>
      <c r="C628" s="9" t="str">
        <f>questionnaire!C628</f>
        <v/>
      </c>
      <c r="D628" s="9" t="str">
        <f>questionnaire!D628</f>
        <v/>
      </c>
      <c r="E628" s="9" t="str">
        <f>questionnaire!E628</f>
        <v/>
      </c>
      <c r="F628" s="9">
        <f>8-questionnaire!F628</f>
        <v>8</v>
      </c>
      <c r="G628" s="9">
        <f>8-questionnaire!G628</f>
        <v>8</v>
      </c>
      <c r="H628" s="9">
        <f>8-questionnaire!H628</f>
        <v>8</v>
      </c>
      <c r="I628" s="9">
        <f>C628*10+D628*5+E628*1.66-(questionnaire!F628*1.66+questionnaire!G628*5+questionnaire!H628*10)</f>
        <v>0</v>
      </c>
    </row>
    <row r="629">
      <c r="A629" s="8" t="str">
        <f>questionnaire!A629</f>
        <v/>
      </c>
      <c r="B629" s="9" t="str">
        <f>questionnaire!B629</f>
        <v/>
      </c>
      <c r="C629" s="9" t="str">
        <f>questionnaire!C629</f>
        <v/>
      </c>
      <c r="D629" s="9" t="str">
        <f>questionnaire!D629</f>
        <v/>
      </c>
      <c r="E629" s="9" t="str">
        <f>questionnaire!E629</f>
        <v/>
      </c>
      <c r="F629" s="9">
        <f>8-questionnaire!F629</f>
        <v>8</v>
      </c>
      <c r="G629" s="9">
        <f>8-questionnaire!G629</f>
        <v>8</v>
      </c>
      <c r="H629" s="9">
        <f>8-questionnaire!H629</f>
        <v>8</v>
      </c>
      <c r="I629" s="9">
        <f>C629*10+D629*5+E629*1.66-(questionnaire!F629*1.66+questionnaire!G629*5+questionnaire!H629*10)</f>
        <v>0</v>
      </c>
    </row>
    <row r="630">
      <c r="A630" s="8" t="str">
        <f>questionnaire!A630</f>
        <v/>
      </c>
      <c r="B630" s="9" t="str">
        <f>questionnaire!B630</f>
        <v/>
      </c>
      <c r="C630" s="9" t="str">
        <f>questionnaire!C630</f>
        <v/>
      </c>
      <c r="D630" s="9" t="str">
        <f>questionnaire!D630</f>
        <v/>
      </c>
      <c r="E630" s="9" t="str">
        <f>questionnaire!E630</f>
        <v/>
      </c>
      <c r="F630" s="9">
        <f>8-questionnaire!F630</f>
        <v>8</v>
      </c>
      <c r="G630" s="9">
        <f>8-questionnaire!G630</f>
        <v>8</v>
      </c>
      <c r="H630" s="9">
        <f>8-questionnaire!H630</f>
        <v>8</v>
      </c>
      <c r="I630" s="9">
        <f>C630*10+D630*5+E630*1.66-(questionnaire!F630*1.66+questionnaire!G630*5+questionnaire!H630*10)</f>
        <v>0</v>
      </c>
    </row>
    <row r="631">
      <c r="A631" s="8" t="str">
        <f>questionnaire!A631</f>
        <v/>
      </c>
      <c r="B631" s="9" t="str">
        <f>questionnaire!B631</f>
        <v/>
      </c>
      <c r="C631" s="9" t="str">
        <f>questionnaire!C631</f>
        <v/>
      </c>
      <c r="D631" s="9" t="str">
        <f>questionnaire!D631</f>
        <v/>
      </c>
      <c r="E631" s="9" t="str">
        <f>questionnaire!E631</f>
        <v/>
      </c>
      <c r="F631" s="9">
        <f>8-questionnaire!F631</f>
        <v>8</v>
      </c>
      <c r="G631" s="9">
        <f>8-questionnaire!G631</f>
        <v>8</v>
      </c>
      <c r="H631" s="9">
        <f>8-questionnaire!H631</f>
        <v>8</v>
      </c>
      <c r="I631" s="9">
        <f>C631*10+D631*5+E631*1.66-(questionnaire!F631*1.66+questionnaire!G631*5+questionnaire!H631*10)</f>
        <v>0</v>
      </c>
    </row>
    <row r="632">
      <c r="A632" s="8" t="str">
        <f>questionnaire!A632</f>
        <v/>
      </c>
      <c r="B632" s="9" t="str">
        <f>questionnaire!B632</f>
        <v/>
      </c>
      <c r="C632" s="9" t="str">
        <f>questionnaire!C632</f>
        <v/>
      </c>
      <c r="D632" s="9" t="str">
        <f>questionnaire!D632</f>
        <v/>
      </c>
      <c r="E632" s="9" t="str">
        <f>questionnaire!E632</f>
        <v/>
      </c>
      <c r="F632" s="9">
        <f>8-questionnaire!F632</f>
        <v>8</v>
      </c>
      <c r="G632" s="9">
        <f>8-questionnaire!G632</f>
        <v>8</v>
      </c>
      <c r="H632" s="9">
        <f>8-questionnaire!H632</f>
        <v>8</v>
      </c>
      <c r="I632" s="9">
        <f>C632*10+D632*5+E632*1.66-(questionnaire!F632*1.66+questionnaire!G632*5+questionnaire!H632*10)</f>
        <v>0</v>
      </c>
    </row>
    <row r="633">
      <c r="A633" s="8" t="str">
        <f>questionnaire!A633</f>
        <v/>
      </c>
      <c r="B633" s="9" t="str">
        <f>questionnaire!B633</f>
        <v/>
      </c>
      <c r="C633" s="9" t="str">
        <f>questionnaire!C633</f>
        <v/>
      </c>
      <c r="D633" s="9" t="str">
        <f>questionnaire!D633</f>
        <v/>
      </c>
      <c r="E633" s="9" t="str">
        <f>questionnaire!E633</f>
        <v/>
      </c>
      <c r="F633" s="9">
        <f>8-questionnaire!F633</f>
        <v>8</v>
      </c>
      <c r="G633" s="9">
        <f>8-questionnaire!G633</f>
        <v>8</v>
      </c>
      <c r="H633" s="9">
        <f>8-questionnaire!H633</f>
        <v>8</v>
      </c>
      <c r="I633" s="9">
        <f>C633*10+D633*5+E633*1.66-(questionnaire!F633*1.66+questionnaire!G633*5+questionnaire!H633*10)</f>
        <v>0</v>
      </c>
    </row>
    <row r="634">
      <c r="A634" s="8" t="str">
        <f>questionnaire!A634</f>
        <v/>
      </c>
      <c r="B634" s="9" t="str">
        <f>questionnaire!B634</f>
        <v/>
      </c>
      <c r="C634" s="9" t="str">
        <f>questionnaire!C634</f>
        <v/>
      </c>
      <c r="D634" s="9" t="str">
        <f>questionnaire!D634</f>
        <v/>
      </c>
      <c r="E634" s="9" t="str">
        <f>questionnaire!E634</f>
        <v/>
      </c>
      <c r="F634" s="9">
        <f>8-questionnaire!F634</f>
        <v>8</v>
      </c>
      <c r="G634" s="9">
        <f>8-questionnaire!G634</f>
        <v>8</v>
      </c>
      <c r="H634" s="9">
        <f>8-questionnaire!H634</f>
        <v>8</v>
      </c>
      <c r="I634" s="9">
        <f>C634*10+D634*5+E634*1.66-(questionnaire!F634*1.66+questionnaire!G634*5+questionnaire!H634*10)</f>
        <v>0</v>
      </c>
    </row>
    <row r="635">
      <c r="A635" s="8" t="str">
        <f>questionnaire!A635</f>
        <v/>
      </c>
      <c r="B635" s="9" t="str">
        <f>questionnaire!B635</f>
        <v/>
      </c>
      <c r="C635" s="9" t="str">
        <f>questionnaire!C635</f>
        <v/>
      </c>
      <c r="D635" s="9" t="str">
        <f>questionnaire!D635</f>
        <v/>
      </c>
      <c r="E635" s="9" t="str">
        <f>questionnaire!E635</f>
        <v/>
      </c>
      <c r="F635" s="9">
        <f>8-questionnaire!F635</f>
        <v>8</v>
      </c>
      <c r="G635" s="9">
        <f>8-questionnaire!G635</f>
        <v>8</v>
      </c>
      <c r="H635" s="9">
        <f>8-questionnaire!H635</f>
        <v>8</v>
      </c>
      <c r="I635" s="9">
        <f>C635*10+D635*5+E635*1.66-(questionnaire!F635*1.66+questionnaire!G635*5+questionnaire!H635*10)</f>
        <v>0</v>
      </c>
    </row>
    <row r="636">
      <c r="A636" s="8" t="str">
        <f>questionnaire!A636</f>
        <v/>
      </c>
      <c r="B636" s="9" t="str">
        <f>questionnaire!B636</f>
        <v/>
      </c>
      <c r="C636" s="9" t="str">
        <f>questionnaire!C636</f>
        <v/>
      </c>
      <c r="D636" s="9" t="str">
        <f>questionnaire!D636</f>
        <v/>
      </c>
      <c r="E636" s="9" t="str">
        <f>questionnaire!E636</f>
        <v/>
      </c>
      <c r="F636" s="9">
        <f>8-questionnaire!F636</f>
        <v>8</v>
      </c>
      <c r="G636" s="9">
        <f>8-questionnaire!G636</f>
        <v>8</v>
      </c>
      <c r="H636" s="9">
        <f>8-questionnaire!H636</f>
        <v>8</v>
      </c>
      <c r="I636" s="9">
        <f>C636*10+D636*5+E636*1.66-(questionnaire!F636*1.66+questionnaire!G636*5+questionnaire!H636*10)</f>
        <v>0</v>
      </c>
    </row>
    <row r="637">
      <c r="A637" s="8" t="str">
        <f>questionnaire!A637</f>
        <v/>
      </c>
      <c r="B637" s="9" t="str">
        <f>questionnaire!B637</f>
        <v/>
      </c>
      <c r="C637" s="9" t="str">
        <f>questionnaire!C637</f>
        <v/>
      </c>
      <c r="D637" s="9" t="str">
        <f>questionnaire!D637</f>
        <v/>
      </c>
      <c r="E637" s="9" t="str">
        <f>questionnaire!E637</f>
        <v/>
      </c>
      <c r="F637" s="9">
        <f>8-questionnaire!F637</f>
        <v>8</v>
      </c>
      <c r="G637" s="9">
        <f>8-questionnaire!G637</f>
        <v>8</v>
      </c>
      <c r="H637" s="9">
        <f>8-questionnaire!H637</f>
        <v>8</v>
      </c>
      <c r="I637" s="9">
        <f>C637*10+D637*5+E637*1.66-(questionnaire!F637*1.66+questionnaire!G637*5+questionnaire!H637*10)</f>
        <v>0</v>
      </c>
    </row>
    <row r="638">
      <c r="A638" s="8" t="str">
        <f>questionnaire!A638</f>
        <v/>
      </c>
      <c r="B638" s="9" t="str">
        <f>questionnaire!B638</f>
        <v/>
      </c>
      <c r="C638" s="9" t="str">
        <f>questionnaire!C638</f>
        <v/>
      </c>
      <c r="D638" s="9" t="str">
        <f>questionnaire!D638</f>
        <v/>
      </c>
      <c r="E638" s="9" t="str">
        <f>questionnaire!E638</f>
        <v/>
      </c>
      <c r="F638" s="9">
        <f>8-questionnaire!F638</f>
        <v>8</v>
      </c>
      <c r="G638" s="9">
        <f>8-questionnaire!G638</f>
        <v>8</v>
      </c>
      <c r="H638" s="9">
        <f>8-questionnaire!H638</f>
        <v>8</v>
      </c>
      <c r="I638" s="9">
        <f>C638*10+D638*5+E638*1.66-(questionnaire!F638*1.66+questionnaire!G638*5+questionnaire!H638*10)</f>
        <v>0</v>
      </c>
    </row>
    <row r="639">
      <c r="A639" s="8" t="str">
        <f>questionnaire!A639</f>
        <v/>
      </c>
      <c r="B639" s="9" t="str">
        <f>questionnaire!B639</f>
        <v/>
      </c>
      <c r="C639" s="9" t="str">
        <f>questionnaire!C639</f>
        <v/>
      </c>
      <c r="D639" s="9" t="str">
        <f>questionnaire!D639</f>
        <v/>
      </c>
      <c r="E639" s="9" t="str">
        <f>questionnaire!E639</f>
        <v/>
      </c>
      <c r="F639" s="9">
        <f>8-questionnaire!F639</f>
        <v>8</v>
      </c>
      <c r="G639" s="9">
        <f>8-questionnaire!G639</f>
        <v>8</v>
      </c>
      <c r="H639" s="9">
        <f>8-questionnaire!H639</f>
        <v>8</v>
      </c>
      <c r="I639" s="9">
        <f>C639*10+D639*5+E639*1.66-(questionnaire!F639*1.66+questionnaire!G639*5+questionnaire!H639*10)</f>
        <v>0</v>
      </c>
    </row>
    <row r="640">
      <c r="A640" s="8" t="str">
        <f>questionnaire!A640</f>
        <v/>
      </c>
      <c r="B640" s="9" t="str">
        <f>questionnaire!B640</f>
        <v/>
      </c>
      <c r="C640" s="9" t="str">
        <f>questionnaire!C640</f>
        <v/>
      </c>
      <c r="D640" s="9" t="str">
        <f>questionnaire!D640</f>
        <v/>
      </c>
      <c r="E640" s="9" t="str">
        <f>questionnaire!E640</f>
        <v/>
      </c>
      <c r="F640" s="9">
        <f>8-questionnaire!F640</f>
        <v>8</v>
      </c>
      <c r="G640" s="9">
        <f>8-questionnaire!G640</f>
        <v>8</v>
      </c>
      <c r="H640" s="9">
        <f>8-questionnaire!H640</f>
        <v>8</v>
      </c>
      <c r="I640" s="9">
        <f>C640*10+D640*5+E640*1.66-(questionnaire!F640*1.66+questionnaire!G640*5+questionnaire!H640*10)</f>
        <v>0</v>
      </c>
    </row>
    <row r="641">
      <c r="A641" s="8" t="str">
        <f>questionnaire!A641</f>
        <v/>
      </c>
      <c r="B641" s="9" t="str">
        <f>questionnaire!B641</f>
        <v/>
      </c>
      <c r="C641" s="9" t="str">
        <f>questionnaire!C641</f>
        <v/>
      </c>
      <c r="D641" s="9" t="str">
        <f>questionnaire!D641</f>
        <v/>
      </c>
      <c r="E641" s="9" t="str">
        <f>questionnaire!E641</f>
        <v/>
      </c>
      <c r="F641" s="9">
        <f>8-questionnaire!F641</f>
        <v>8</v>
      </c>
      <c r="G641" s="9">
        <f>8-questionnaire!G641</f>
        <v>8</v>
      </c>
      <c r="H641" s="9">
        <f>8-questionnaire!H641</f>
        <v>8</v>
      </c>
      <c r="I641" s="9">
        <f>C641*10+D641*5+E641*1.66-(questionnaire!F641*1.66+questionnaire!G641*5+questionnaire!H641*10)</f>
        <v>0</v>
      </c>
    </row>
    <row r="642">
      <c r="A642" s="8" t="str">
        <f>questionnaire!A642</f>
        <v/>
      </c>
      <c r="B642" s="9" t="str">
        <f>questionnaire!B642</f>
        <v/>
      </c>
      <c r="C642" s="9" t="str">
        <f>questionnaire!C642</f>
        <v/>
      </c>
      <c r="D642" s="9" t="str">
        <f>questionnaire!D642</f>
        <v/>
      </c>
      <c r="E642" s="9" t="str">
        <f>questionnaire!E642</f>
        <v/>
      </c>
      <c r="F642" s="9">
        <f>8-questionnaire!F642</f>
        <v>8</v>
      </c>
      <c r="G642" s="9">
        <f>8-questionnaire!G642</f>
        <v>8</v>
      </c>
      <c r="H642" s="9">
        <f>8-questionnaire!H642</f>
        <v>8</v>
      </c>
      <c r="I642" s="9">
        <f>C642*10+D642*5+E642*1.66-(questionnaire!F642*1.66+questionnaire!G642*5+questionnaire!H642*10)</f>
        <v>0</v>
      </c>
    </row>
    <row r="643">
      <c r="A643" s="8" t="str">
        <f>questionnaire!A643</f>
        <v/>
      </c>
      <c r="B643" s="9" t="str">
        <f>questionnaire!B643</f>
        <v/>
      </c>
      <c r="C643" s="9" t="str">
        <f>questionnaire!C643</f>
        <v/>
      </c>
      <c r="D643" s="9" t="str">
        <f>questionnaire!D643</f>
        <v/>
      </c>
      <c r="E643" s="9" t="str">
        <f>questionnaire!E643</f>
        <v/>
      </c>
      <c r="F643" s="9">
        <f>8-questionnaire!F643</f>
        <v>8</v>
      </c>
      <c r="G643" s="9">
        <f>8-questionnaire!G643</f>
        <v>8</v>
      </c>
      <c r="H643" s="9">
        <f>8-questionnaire!H643</f>
        <v>8</v>
      </c>
      <c r="I643" s="9">
        <f>C643*10+D643*5+E643*1.66-(questionnaire!F643*1.66+questionnaire!G643*5+questionnaire!H643*10)</f>
        <v>0</v>
      </c>
    </row>
    <row r="644">
      <c r="A644" s="8" t="str">
        <f>questionnaire!A644</f>
        <v/>
      </c>
      <c r="B644" s="9" t="str">
        <f>questionnaire!B644</f>
        <v/>
      </c>
      <c r="C644" s="9" t="str">
        <f>questionnaire!C644</f>
        <v/>
      </c>
      <c r="D644" s="9" t="str">
        <f>questionnaire!D644</f>
        <v/>
      </c>
      <c r="E644" s="9" t="str">
        <f>questionnaire!E644</f>
        <v/>
      </c>
      <c r="F644" s="9">
        <f>8-questionnaire!F644</f>
        <v>8</v>
      </c>
      <c r="G644" s="9">
        <f>8-questionnaire!G644</f>
        <v>8</v>
      </c>
      <c r="H644" s="9">
        <f>8-questionnaire!H644</f>
        <v>8</v>
      </c>
      <c r="I644" s="9">
        <f>C644*10+D644*5+E644*1.66-(questionnaire!F644*1.66+questionnaire!G644*5+questionnaire!H644*10)</f>
        <v>0</v>
      </c>
    </row>
    <row r="645">
      <c r="A645" s="8" t="str">
        <f>questionnaire!A645</f>
        <v/>
      </c>
      <c r="B645" s="9" t="str">
        <f>questionnaire!B645</f>
        <v/>
      </c>
      <c r="C645" s="9" t="str">
        <f>questionnaire!C645</f>
        <v/>
      </c>
      <c r="D645" s="9" t="str">
        <f>questionnaire!D645</f>
        <v/>
      </c>
      <c r="E645" s="9" t="str">
        <f>questionnaire!E645</f>
        <v/>
      </c>
      <c r="F645" s="9">
        <f>8-questionnaire!F645</f>
        <v>8</v>
      </c>
      <c r="G645" s="9">
        <f>8-questionnaire!G645</f>
        <v>8</v>
      </c>
      <c r="H645" s="9">
        <f>8-questionnaire!H645</f>
        <v>8</v>
      </c>
      <c r="I645" s="9">
        <f>C645*10+D645*5+E645*1.66-(questionnaire!F645*1.66+questionnaire!G645*5+questionnaire!H645*10)</f>
        <v>0</v>
      </c>
    </row>
    <row r="646">
      <c r="A646" s="8" t="str">
        <f>questionnaire!A646</f>
        <v/>
      </c>
      <c r="B646" s="9" t="str">
        <f>questionnaire!B646</f>
        <v/>
      </c>
      <c r="C646" s="9" t="str">
        <f>questionnaire!C646</f>
        <v/>
      </c>
      <c r="D646" s="9" t="str">
        <f>questionnaire!D646</f>
        <v/>
      </c>
      <c r="E646" s="9" t="str">
        <f>questionnaire!E646</f>
        <v/>
      </c>
      <c r="F646" s="9">
        <f>8-questionnaire!F646</f>
        <v>8</v>
      </c>
      <c r="G646" s="9">
        <f>8-questionnaire!G646</f>
        <v>8</v>
      </c>
      <c r="H646" s="9">
        <f>8-questionnaire!H646</f>
        <v>8</v>
      </c>
      <c r="I646" s="9">
        <f>C646*10+D646*5+E646*1.66-(questionnaire!F646*1.66+questionnaire!G646*5+questionnaire!H646*10)</f>
        <v>0</v>
      </c>
    </row>
    <row r="647">
      <c r="A647" s="8" t="str">
        <f>questionnaire!A647</f>
        <v/>
      </c>
      <c r="B647" s="9" t="str">
        <f>questionnaire!B647</f>
        <v/>
      </c>
      <c r="C647" s="9" t="str">
        <f>questionnaire!C647</f>
        <v/>
      </c>
      <c r="D647" s="9" t="str">
        <f>questionnaire!D647</f>
        <v/>
      </c>
      <c r="E647" s="9" t="str">
        <f>questionnaire!E647</f>
        <v/>
      </c>
      <c r="F647" s="9">
        <f>8-questionnaire!F647</f>
        <v>8</v>
      </c>
      <c r="G647" s="9">
        <f>8-questionnaire!G647</f>
        <v>8</v>
      </c>
      <c r="H647" s="9">
        <f>8-questionnaire!H647</f>
        <v>8</v>
      </c>
      <c r="I647" s="9">
        <f>C647*10+D647*5+E647*1.66-(questionnaire!F647*1.66+questionnaire!G647*5+questionnaire!H647*10)</f>
        <v>0</v>
      </c>
    </row>
    <row r="648">
      <c r="A648" s="8" t="str">
        <f>questionnaire!A648</f>
        <v/>
      </c>
      <c r="B648" s="9" t="str">
        <f>questionnaire!B648</f>
        <v/>
      </c>
      <c r="C648" s="9" t="str">
        <f>questionnaire!C648</f>
        <v/>
      </c>
      <c r="D648" s="9" t="str">
        <f>questionnaire!D648</f>
        <v/>
      </c>
      <c r="E648" s="9" t="str">
        <f>questionnaire!E648</f>
        <v/>
      </c>
      <c r="F648" s="9">
        <f>8-questionnaire!F648</f>
        <v>8</v>
      </c>
      <c r="G648" s="9">
        <f>8-questionnaire!G648</f>
        <v>8</v>
      </c>
      <c r="H648" s="9">
        <f>8-questionnaire!H648</f>
        <v>8</v>
      </c>
      <c r="I648" s="9">
        <f>C648*10+D648*5+E648*1.66-(questionnaire!F648*1.66+questionnaire!G648*5+questionnaire!H648*10)</f>
        <v>0</v>
      </c>
    </row>
    <row r="649">
      <c r="A649" s="8" t="str">
        <f>questionnaire!A649</f>
        <v/>
      </c>
      <c r="B649" s="9" t="str">
        <f>questionnaire!B649</f>
        <v/>
      </c>
      <c r="C649" s="9" t="str">
        <f>questionnaire!C649</f>
        <v/>
      </c>
      <c r="D649" s="9" t="str">
        <f>questionnaire!D649</f>
        <v/>
      </c>
      <c r="E649" s="9" t="str">
        <f>questionnaire!E649</f>
        <v/>
      </c>
      <c r="F649" s="9">
        <f>8-questionnaire!F649</f>
        <v>8</v>
      </c>
      <c r="G649" s="9">
        <f>8-questionnaire!G649</f>
        <v>8</v>
      </c>
      <c r="H649" s="9">
        <f>8-questionnaire!H649</f>
        <v>8</v>
      </c>
      <c r="I649" s="9">
        <f>C649*10+D649*5+E649*1.66-(questionnaire!F649*1.66+questionnaire!G649*5+questionnaire!H649*10)</f>
        <v>0</v>
      </c>
    </row>
    <row r="650">
      <c r="A650" s="8" t="str">
        <f>questionnaire!A650</f>
        <v/>
      </c>
      <c r="B650" s="9" t="str">
        <f>questionnaire!B650</f>
        <v/>
      </c>
      <c r="C650" s="9" t="str">
        <f>questionnaire!C650</f>
        <v/>
      </c>
      <c r="D650" s="9" t="str">
        <f>questionnaire!D650</f>
        <v/>
      </c>
      <c r="E650" s="9" t="str">
        <f>questionnaire!E650</f>
        <v/>
      </c>
      <c r="F650" s="9">
        <f>8-questionnaire!F650</f>
        <v>8</v>
      </c>
      <c r="G650" s="9">
        <f>8-questionnaire!G650</f>
        <v>8</v>
      </c>
      <c r="H650" s="9">
        <f>8-questionnaire!H650</f>
        <v>8</v>
      </c>
      <c r="I650" s="9">
        <f>C650*10+D650*5+E650*1.66-(questionnaire!F650*1.66+questionnaire!G650*5+questionnaire!H650*10)</f>
        <v>0</v>
      </c>
    </row>
    <row r="651">
      <c r="A651" s="8" t="str">
        <f>questionnaire!A651</f>
        <v/>
      </c>
      <c r="B651" s="9" t="str">
        <f>questionnaire!B651</f>
        <v/>
      </c>
      <c r="C651" s="9" t="str">
        <f>questionnaire!C651</f>
        <v/>
      </c>
      <c r="D651" s="9" t="str">
        <f>questionnaire!D651</f>
        <v/>
      </c>
      <c r="E651" s="9" t="str">
        <f>questionnaire!E651</f>
        <v/>
      </c>
      <c r="F651" s="9">
        <f>8-questionnaire!F651</f>
        <v>8</v>
      </c>
      <c r="G651" s="9">
        <f>8-questionnaire!G651</f>
        <v>8</v>
      </c>
      <c r="H651" s="9">
        <f>8-questionnaire!H651</f>
        <v>8</v>
      </c>
      <c r="I651" s="9">
        <f>C651*10+D651*5+E651*1.66-(questionnaire!F651*1.66+questionnaire!G651*5+questionnaire!H651*10)</f>
        <v>0</v>
      </c>
    </row>
    <row r="652">
      <c r="A652" s="8" t="str">
        <f>questionnaire!A652</f>
        <v/>
      </c>
      <c r="B652" s="9" t="str">
        <f>questionnaire!B652</f>
        <v/>
      </c>
      <c r="C652" s="9" t="str">
        <f>questionnaire!C652</f>
        <v/>
      </c>
      <c r="D652" s="9" t="str">
        <f>questionnaire!D652</f>
        <v/>
      </c>
      <c r="E652" s="9" t="str">
        <f>questionnaire!E652</f>
        <v/>
      </c>
      <c r="F652" s="9">
        <f>8-questionnaire!F652</f>
        <v>8</v>
      </c>
      <c r="G652" s="9">
        <f>8-questionnaire!G652</f>
        <v>8</v>
      </c>
      <c r="H652" s="9">
        <f>8-questionnaire!H652</f>
        <v>8</v>
      </c>
      <c r="I652" s="9">
        <f>C652*10+D652*5+E652*1.66-(questionnaire!F652*1.66+questionnaire!G652*5+questionnaire!H652*10)</f>
        <v>0</v>
      </c>
    </row>
    <row r="653">
      <c r="A653" s="8" t="str">
        <f>questionnaire!A653</f>
        <v/>
      </c>
      <c r="B653" s="9" t="str">
        <f>questionnaire!B653</f>
        <v/>
      </c>
      <c r="C653" s="9" t="str">
        <f>questionnaire!C653</f>
        <v/>
      </c>
      <c r="D653" s="9" t="str">
        <f>questionnaire!D653</f>
        <v/>
      </c>
      <c r="E653" s="9" t="str">
        <f>questionnaire!E653</f>
        <v/>
      </c>
      <c r="F653" s="9">
        <f>8-questionnaire!F653</f>
        <v>8</v>
      </c>
      <c r="G653" s="9">
        <f>8-questionnaire!G653</f>
        <v>8</v>
      </c>
      <c r="H653" s="9">
        <f>8-questionnaire!H653</f>
        <v>8</v>
      </c>
      <c r="I653" s="9">
        <f>C653*10+D653*5+E653*1.66-(questionnaire!F653*1.66+questionnaire!G653*5+questionnaire!H653*10)</f>
        <v>0</v>
      </c>
    </row>
    <row r="654">
      <c r="A654" s="8" t="str">
        <f>questionnaire!A654</f>
        <v/>
      </c>
      <c r="B654" s="9" t="str">
        <f>questionnaire!B654</f>
        <v/>
      </c>
      <c r="C654" s="9" t="str">
        <f>questionnaire!C654</f>
        <v/>
      </c>
      <c r="D654" s="9" t="str">
        <f>questionnaire!D654</f>
        <v/>
      </c>
      <c r="E654" s="9" t="str">
        <f>questionnaire!E654</f>
        <v/>
      </c>
      <c r="F654" s="9">
        <f>8-questionnaire!F654</f>
        <v>8</v>
      </c>
      <c r="G654" s="9">
        <f>8-questionnaire!G654</f>
        <v>8</v>
      </c>
      <c r="H654" s="9">
        <f>8-questionnaire!H654</f>
        <v>8</v>
      </c>
      <c r="I654" s="9">
        <f>C654*10+D654*5+E654*1.66-(questionnaire!F654*1.66+questionnaire!G654*5+questionnaire!H654*10)</f>
        <v>0</v>
      </c>
    </row>
    <row r="655">
      <c r="A655" s="8" t="str">
        <f>questionnaire!A655</f>
        <v/>
      </c>
      <c r="B655" s="9" t="str">
        <f>questionnaire!B655</f>
        <v/>
      </c>
      <c r="C655" s="9" t="str">
        <f>questionnaire!C655</f>
        <v/>
      </c>
      <c r="D655" s="9" t="str">
        <f>questionnaire!D655</f>
        <v/>
      </c>
      <c r="E655" s="9" t="str">
        <f>questionnaire!E655</f>
        <v/>
      </c>
      <c r="F655" s="9">
        <f>8-questionnaire!F655</f>
        <v>8</v>
      </c>
      <c r="G655" s="9">
        <f>8-questionnaire!G655</f>
        <v>8</v>
      </c>
      <c r="H655" s="9">
        <f>8-questionnaire!H655</f>
        <v>8</v>
      </c>
      <c r="I655" s="9">
        <f>C655*10+D655*5+E655*1.66-(questionnaire!F655*1.66+questionnaire!G655*5+questionnaire!H655*10)</f>
        <v>0</v>
      </c>
    </row>
    <row r="656">
      <c r="A656" s="8" t="str">
        <f>questionnaire!A656</f>
        <v/>
      </c>
      <c r="B656" s="9" t="str">
        <f>questionnaire!B656</f>
        <v/>
      </c>
      <c r="C656" s="9" t="str">
        <f>questionnaire!C656</f>
        <v/>
      </c>
      <c r="D656" s="9" t="str">
        <f>questionnaire!D656</f>
        <v/>
      </c>
      <c r="E656" s="9" t="str">
        <f>questionnaire!E656</f>
        <v/>
      </c>
      <c r="F656" s="9">
        <f>8-questionnaire!F656</f>
        <v>8</v>
      </c>
      <c r="G656" s="9">
        <f>8-questionnaire!G656</f>
        <v>8</v>
      </c>
      <c r="H656" s="9">
        <f>8-questionnaire!H656</f>
        <v>8</v>
      </c>
      <c r="I656" s="9">
        <f>C656*10+D656*5+E656*1.66-(questionnaire!F656*1.66+questionnaire!G656*5+questionnaire!H656*10)</f>
        <v>0</v>
      </c>
    </row>
    <row r="657">
      <c r="A657" s="8" t="str">
        <f>questionnaire!A657</f>
        <v/>
      </c>
      <c r="B657" s="9" t="str">
        <f>questionnaire!B657</f>
        <v/>
      </c>
      <c r="C657" s="9" t="str">
        <f>questionnaire!C657</f>
        <v/>
      </c>
      <c r="D657" s="9" t="str">
        <f>questionnaire!D657</f>
        <v/>
      </c>
      <c r="E657" s="9" t="str">
        <f>questionnaire!E657</f>
        <v/>
      </c>
      <c r="F657" s="9">
        <f>8-questionnaire!F657</f>
        <v>8</v>
      </c>
      <c r="G657" s="9">
        <f>8-questionnaire!G657</f>
        <v>8</v>
      </c>
      <c r="H657" s="9">
        <f>8-questionnaire!H657</f>
        <v>8</v>
      </c>
      <c r="I657" s="9">
        <f>C657*10+D657*5+E657*1.66-(questionnaire!F657*1.66+questionnaire!G657*5+questionnaire!H657*10)</f>
        <v>0</v>
      </c>
    </row>
    <row r="658">
      <c r="A658" s="8" t="str">
        <f>questionnaire!A658</f>
        <v/>
      </c>
      <c r="B658" s="9" t="str">
        <f>questionnaire!B658</f>
        <v/>
      </c>
      <c r="C658" s="9" t="str">
        <f>questionnaire!C658</f>
        <v/>
      </c>
      <c r="D658" s="9" t="str">
        <f>questionnaire!D658</f>
        <v/>
      </c>
      <c r="E658" s="9" t="str">
        <f>questionnaire!E658</f>
        <v/>
      </c>
      <c r="F658" s="9">
        <f>8-questionnaire!F658</f>
        <v>8</v>
      </c>
      <c r="G658" s="9">
        <f>8-questionnaire!G658</f>
        <v>8</v>
      </c>
      <c r="H658" s="9">
        <f>8-questionnaire!H658</f>
        <v>8</v>
      </c>
      <c r="I658" s="9">
        <f>C658*10+D658*5+E658*1.66-(questionnaire!F658*1.66+questionnaire!G658*5+questionnaire!H658*10)</f>
        <v>0</v>
      </c>
    </row>
    <row r="659">
      <c r="A659" s="8" t="str">
        <f>questionnaire!A659</f>
        <v/>
      </c>
      <c r="B659" s="9" t="str">
        <f>questionnaire!B659</f>
        <v/>
      </c>
      <c r="C659" s="9" t="str">
        <f>questionnaire!C659</f>
        <v/>
      </c>
      <c r="D659" s="9" t="str">
        <f>questionnaire!D659</f>
        <v/>
      </c>
      <c r="E659" s="9" t="str">
        <f>questionnaire!E659</f>
        <v/>
      </c>
      <c r="F659" s="9">
        <f>8-questionnaire!F659</f>
        <v>8</v>
      </c>
      <c r="G659" s="9">
        <f>8-questionnaire!G659</f>
        <v>8</v>
      </c>
      <c r="H659" s="9">
        <f>8-questionnaire!H659</f>
        <v>8</v>
      </c>
      <c r="I659" s="9">
        <f>C659*10+D659*5+E659*1.66-(questionnaire!F659*1.66+questionnaire!G659*5+questionnaire!H659*10)</f>
        <v>0</v>
      </c>
    </row>
    <row r="660">
      <c r="A660" s="8" t="str">
        <f>questionnaire!A660</f>
        <v/>
      </c>
      <c r="B660" s="9" t="str">
        <f>questionnaire!B660</f>
        <v/>
      </c>
      <c r="C660" s="9" t="str">
        <f>questionnaire!C660</f>
        <v/>
      </c>
      <c r="D660" s="9" t="str">
        <f>questionnaire!D660</f>
        <v/>
      </c>
      <c r="E660" s="9" t="str">
        <f>questionnaire!E660</f>
        <v/>
      </c>
      <c r="F660" s="9">
        <f>8-questionnaire!F660</f>
        <v>8</v>
      </c>
      <c r="G660" s="9">
        <f>8-questionnaire!G660</f>
        <v>8</v>
      </c>
      <c r="H660" s="9">
        <f>8-questionnaire!H660</f>
        <v>8</v>
      </c>
      <c r="I660" s="9">
        <f>C660*10+D660*5+E660*1.66-(questionnaire!F660*1.66+questionnaire!G660*5+questionnaire!H660*10)</f>
        <v>0</v>
      </c>
    </row>
    <row r="661">
      <c r="A661" s="8" t="str">
        <f>questionnaire!A661</f>
        <v/>
      </c>
      <c r="B661" s="9" t="str">
        <f>questionnaire!B661</f>
        <v/>
      </c>
      <c r="C661" s="9" t="str">
        <f>questionnaire!C661</f>
        <v/>
      </c>
      <c r="D661" s="9" t="str">
        <f>questionnaire!D661</f>
        <v/>
      </c>
      <c r="E661" s="9" t="str">
        <f>questionnaire!E661</f>
        <v/>
      </c>
      <c r="F661" s="9">
        <f>8-questionnaire!F661</f>
        <v>8</v>
      </c>
      <c r="G661" s="9">
        <f>8-questionnaire!G661</f>
        <v>8</v>
      </c>
      <c r="H661" s="9">
        <f>8-questionnaire!H661</f>
        <v>8</v>
      </c>
      <c r="I661" s="9">
        <f>C661*10+D661*5+E661*1.66-(questionnaire!F661*1.66+questionnaire!G661*5+questionnaire!H661*10)</f>
        <v>0</v>
      </c>
    </row>
    <row r="662">
      <c r="A662" s="8" t="str">
        <f>questionnaire!A662</f>
        <v/>
      </c>
      <c r="B662" s="9" t="str">
        <f>questionnaire!B662</f>
        <v/>
      </c>
      <c r="C662" s="9" t="str">
        <f>questionnaire!C662</f>
        <v/>
      </c>
      <c r="D662" s="9" t="str">
        <f>questionnaire!D662</f>
        <v/>
      </c>
      <c r="E662" s="9" t="str">
        <f>questionnaire!E662</f>
        <v/>
      </c>
      <c r="F662" s="9">
        <f>8-questionnaire!F662</f>
        <v>8</v>
      </c>
      <c r="G662" s="9">
        <f>8-questionnaire!G662</f>
        <v>8</v>
      </c>
      <c r="H662" s="9">
        <f>8-questionnaire!H662</f>
        <v>8</v>
      </c>
      <c r="I662" s="9">
        <f>C662*10+D662*5+E662*1.66-(questionnaire!F662*1.66+questionnaire!G662*5+questionnaire!H662*10)</f>
        <v>0</v>
      </c>
    </row>
    <row r="663">
      <c r="A663" s="8" t="str">
        <f>questionnaire!A663</f>
        <v/>
      </c>
      <c r="B663" s="9" t="str">
        <f>questionnaire!B663</f>
        <v/>
      </c>
      <c r="C663" s="9" t="str">
        <f>questionnaire!C663</f>
        <v/>
      </c>
      <c r="D663" s="9" t="str">
        <f>questionnaire!D663</f>
        <v/>
      </c>
      <c r="E663" s="9" t="str">
        <f>questionnaire!E663</f>
        <v/>
      </c>
      <c r="F663" s="9">
        <f>8-questionnaire!F663</f>
        <v>8</v>
      </c>
      <c r="G663" s="9">
        <f>8-questionnaire!G663</f>
        <v>8</v>
      </c>
      <c r="H663" s="9">
        <f>8-questionnaire!H663</f>
        <v>8</v>
      </c>
      <c r="I663" s="9">
        <f>C663*10+D663*5+E663*1.66-(questionnaire!F663*1.66+questionnaire!G663*5+questionnaire!H663*10)</f>
        <v>0</v>
      </c>
    </row>
    <row r="664">
      <c r="A664" s="8" t="str">
        <f>questionnaire!A664</f>
        <v/>
      </c>
      <c r="B664" s="9" t="str">
        <f>questionnaire!B664</f>
        <v/>
      </c>
      <c r="C664" s="9" t="str">
        <f>questionnaire!C664</f>
        <v/>
      </c>
      <c r="D664" s="9" t="str">
        <f>questionnaire!D664</f>
        <v/>
      </c>
      <c r="E664" s="9" t="str">
        <f>questionnaire!E664</f>
        <v/>
      </c>
      <c r="F664" s="9">
        <f>8-questionnaire!F664</f>
        <v>8</v>
      </c>
      <c r="G664" s="9">
        <f>8-questionnaire!G664</f>
        <v>8</v>
      </c>
      <c r="H664" s="9">
        <f>8-questionnaire!H664</f>
        <v>8</v>
      </c>
      <c r="I664" s="9">
        <f>C664*10+D664*5+E664*1.66-(questionnaire!F664*1.66+questionnaire!G664*5+questionnaire!H664*10)</f>
        <v>0</v>
      </c>
    </row>
    <row r="665">
      <c r="A665" s="8" t="str">
        <f>questionnaire!A665</f>
        <v/>
      </c>
      <c r="B665" s="9" t="str">
        <f>questionnaire!B665</f>
        <v/>
      </c>
      <c r="C665" s="9" t="str">
        <f>questionnaire!C665</f>
        <v/>
      </c>
      <c r="D665" s="9" t="str">
        <f>questionnaire!D665</f>
        <v/>
      </c>
      <c r="E665" s="9" t="str">
        <f>questionnaire!E665</f>
        <v/>
      </c>
      <c r="F665" s="9">
        <f>8-questionnaire!F665</f>
        <v>8</v>
      </c>
      <c r="G665" s="9">
        <f>8-questionnaire!G665</f>
        <v>8</v>
      </c>
      <c r="H665" s="9">
        <f>8-questionnaire!H665</f>
        <v>8</v>
      </c>
      <c r="I665" s="9">
        <f>C665*10+D665*5+E665*1.66-(questionnaire!F665*1.66+questionnaire!G665*5+questionnaire!H665*10)</f>
        <v>0</v>
      </c>
    </row>
    <row r="666">
      <c r="A666" s="8" t="str">
        <f>questionnaire!A666</f>
        <v/>
      </c>
      <c r="B666" s="9" t="str">
        <f>questionnaire!B666</f>
        <v/>
      </c>
      <c r="C666" s="9" t="str">
        <f>questionnaire!C666</f>
        <v/>
      </c>
      <c r="D666" s="9" t="str">
        <f>questionnaire!D666</f>
        <v/>
      </c>
      <c r="E666" s="9" t="str">
        <f>questionnaire!E666</f>
        <v/>
      </c>
      <c r="F666" s="9">
        <f>8-questionnaire!F666</f>
        <v>8</v>
      </c>
      <c r="G666" s="9">
        <f>8-questionnaire!G666</f>
        <v>8</v>
      </c>
      <c r="H666" s="9">
        <f>8-questionnaire!H666</f>
        <v>8</v>
      </c>
      <c r="I666" s="9">
        <f>C666*10+D666*5+E666*1.66-(questionnaire!F666*1.66+questionnaire!G666*5+questionnaire!H666*10)</f>
        <v>0</v>
      </c>
    </row>
    <row r="667">
      <c r="A667" s="8" t="str">
        <f>questionnaire!A667</f>
        <v/>
      </c>
      <c r="B667" s="9" t="str">
        <f>questionnaire!B667</f>
        <v/>
      </c>
      <c r="C667" s="9" t="str">
        <f>questionnaire!C667</f>
        <v/>
      </c>
      <c r="D667" s="9" t="str">
        <f>questionnaire!D667</f>
        <v/>
      </c>
      <c r="E667" s="9" t="str">
        <f>questionnaire!E667</f>
        <v/>
      </c>
      <c r="F667" s="9">
        <f>8-questionnaire!F667</f>
        <v>8</v>
      </c>
      <c r="G667" s="9">
        <f>8-questionnaire!G667</f>
        <v>8</v>
      </c>
      <c r="H667" s="9">
        <f>8-questionnaire!H667</f>
        <v>8</v>
      </c>
      <c r="I667" s="9">
        <f>C667*10+D667*5+E667*1.66-(questionnaire!F667*1.66+questionnaire!G667*5+questionnaire!H667*10)</f>
        <v>0</v>
      </c>
    </row>
    <row r="668">
      <c r="A668" s="8" t="str">
        <f>questionnaire!A668</f>
        <v/>
      </c>
      <c r="B668" s="9" t="str">
        <f>questionnaire!B668</f>
        <v/>
      </c>
      <c r="C668" s="9" t="str">
        <f>questionnaire!C668</f>
        <v/>
      </c>
      <c r="D668" s="9" t="str">
        <f>questionnaire!D668</f>
        <v/>
      </c>
      <c r="E668" s="9" t="str">
        <f>questionnaire!E668</f>
        <v/>
      </c>
      <c r="F668" s="9">
        <f>8-questionnaire!F668</f>
        <v>8</v>
      </c>
      <c r="G668" s="9">
        <f>8-questionnaire!G668</f>
        <v>8</v>
      </c>
      <c r="H668" s="9">
        <f>8-questionnaire!H668</f>
        <v>8</v>
      </c>
      <c r="I668" s="9">
        <f>C668*10+D668*5+E668*1.66-(questionnaire!F668*1.66+questionnaire!G668*5+questionnaire!H668*10)</f>
        <v>0</v>
      </c>
    </row>
    <row r="669">
      <c r="A669" s="8" t="str">
        <f>questionnaire!A669</f>
        <v/>
      </c>
      <c r="B669" s="9" t="str">
        <f>questionnaire!B669</f>
        <v/>
      </c>
      <c r="C669" s="9" t="str">
        <f>questionnaire!C669</f>
        <v/>
      </c>
      <c r="D669" s="9" t="str">
        <f>questionnaire!D669</f>
        <v/>
      </c>
      <c r="E669" s="9" t="str">
        <f>questionnaire!E669</f>
        <v/>
      </c>
      <c r="F669" s="9">
        <f>8-questionnaire!F669</f>
        <v>8</v>
      </c>
      <c r="G669" s="9">
        <f>8-questionnaire!G669</f>
        <v>8</v>
      </c>
      <c r="H669" s="9">
        <f>8-questionnaire!H669</f>
        <v>8</v>
      </c>
      <c r="I669" s="9">
        <f>C669*10+D669*5+E669*1.66-(questionnaire!F669*1.66+questionnaire!G669*5+questionnaire!H669*10)</f>
        <v>0</v>
      </c>
    </row>
    <row r="670">
      <c r="A670" s="8" t="str">
        <f>questionnaire!A670</f>
        <v/>
      </c>
      <c r="B670" s="9" t="str">
        <f>questionnaire!B670</f>
        <v/>
      </c>
      <c r="C670" s="9" t="str">
        <f>questionnaire!C670</f>
        <v/>
      </c>
      <c r="D670" s="9" t="str">
        <f>questionnaire!D670</f>
        <v/>
      </c>
      <c r="E670" s="9" t="str">
        <f>questionnaire!E670</f>
        <v/>
      </c>
      <c r="F670" s="9">
        <f>8-questionnaire!F670</f>
        <v>8</v>
      </c>
      <c r="G670" s="9">
        <f>8-questionnaire!G670</f>
        <v>8</v>
      </c>
      <c r="H670" s="9">
        <f>8-questionnaire!H670</f>
        <v>8</v>
      </c>
      <c r="I670" s="9">
        <f>C670*10+D670*5+E670*1.66-(questionnaire!F670*1.66+questionnaire!G670*5+questionnaire!H670*10)</f>
        <v>0</v>
      </c>
    </row>
    <row r="671">
      <c r="A671" s="8" t="str">
        <f>questionnaire!A671</f>
        <v/>
      </c>
      <c r="B671" s="9" t="str">
        <f>questionnaire!B671</f>
        <v/>
      </c>
      <c r="C671" s="9" t="str">
        <f>questionnaire!C671</f>
        <v/>
      </c>
      <c r="D671" s="9" t="str">
        <f>questionnaire!D671</f>
        <v/>
      </c>
      <c r="E671" s="9" t="str">
        <f>questionnaire!E671</f>
        <v/>
      </c>
      <c r="F671" s="9">
        <f>8-questionnaire!F671</f>
        <v>8</v>
      </c>
      <c r="G671" s="9">
        <f>8-questionnaire!G671</f>
        <v>8</v>
      </c>
      <c r="H671" s="9">
        <f>8-questionnaire!H671</f>
        <v>8</v>
      </c>
      <c r="I671" s="9">
        <f>C671*10+D671*5+E671*1.66-(questionnaire!F671*1.66+questionnaire!G671*5+questionnaire!H671*10)</f>
        <v>0</v>
      </c>
    </row>
    <row r="672">
      <c r="A672" s="8" t="str">
        <f>questionnaire!A672</f>
        <v/>
      </c>
      <c r="B672" s="9" t="str">
        <f>questionnaire!B672</f>
        <v/>
      </c>
      <c r="C672" s="9" t="str">
        <f>questionnaire!C672</f>
        <v/>
      </c>
      <c r="D672" s="9" t="str">
        <f>questionnaire!D672</f>
        <v/>
      </c>
      <c r="E672" s="9" t="str">
        <f>questionnaire!E672</f>
        <v/>
      </c>
      <c r="F672" s="9">
        <f>8-questionnaire!F672</f>
        <v>8</v>
      </c>
      <c r="G672" s="9">
        <f>8-questionnaire!G672</f>
        <v>8</v>
      </c>
      <c r="H672" s="9">
        <f>8-questionnaire!H672</f>
        <v>8</v>
      </c>
      <c r="I672" s="9">
        <f>C672*10+D672*5+E672*1.66-(questionnaire!F672*1.66+questionnaire!G672*5+questionnaire!H672*10)</f>
        <v>0</v>
      </c>
    </row>
    <row r="673">
      <c r="A673" s="8" t="str">
        <f>questionnaire!A673</f>
        <v/>
      </c>
      <c r="B673" s="9" t="str">
        <f>questionnaire!B673</f>
        <v/>
      </c>
      <c r="C673" s="9" t="str">
        <f>questionnaire!C673</f>
        <v/>
      </c>
      <c r="D673" s="9" t="str">
        <f>questionnaire!D673</f>
        <v/>
      </c>
      <c r="E673" s="9" t="str">
        <f>questionnaire!E673</f>
        <v/>
      </c>
      <c r="F673" s="9">
        <f>8-questionnaire!F673</f>
        <v>8</v>
      </c>
      <c r="G673" s="9">
        <f>8-questionnaire!G673</f>
        <v>8</v>
      </c>
      <c r="H673" s="9">
        <f>8-questionnaire!H673</f>
        <v>8</v>
      </c>
      <c r="I673" s="9">
        <f>C673*10+D673*5+E673*1.66-(questionnaire!F673*1.66+questionnaire!G673*5+questionnaire!H673*10)</f>
        <v>0</v>
      </c>
    </row>
    <row r="674">
      <c r="A674" s="8" t="str">
        <f>questionnaire!A674</f>
        <v/>
      </c>
      <c r="B674" s="9" t="str">
        <f>questionnaire!B674</f>
        <v/>
      </c>
      <c r="C674" s="9" t="str">
        <f>questionnaire!C674</f>
        <v/>
      </c>
      <c r="D674" s="9" t="str">
        <f>questionnaire!D674</f>
        <v/>
      </c>
      <c r="E674" s="9" t="str">
        <f>questionnaire!E674</f>
        <v/>
      </c>
      <c r="F674" s="9">
        <f>8-questionnaire!F674</f>
        <v>8</v>
      </c>
      <c r="G674" s="9">
        <f>8-questionnaire!G674</f>
        <v>8</v>
      </c>
      <c r="H674" s="9">
        <f>8-questionnaire!H674</f>
        <v>8</v>
      </c>
      <c r="I674" s="9">
        <f>C674*10+D674*5+E674*1.66-(questionnaire!F674*1.66+questionnaire!G674*5+questionnaire!H674*10)</f>
        <v>0</v>
      </c>
    </row>
    <row r="675">
      <c r="A675" s="8" t="str">
        <f>questionnaire!A675</f>
        <v/>
      </c>
      <c r="B675" s="9" t="str">
        <f>questionnaire!B675</f>
        <v/>
      </c>
      <c r="C675" s="9" t="str">
        <f>questionnaire!C675</f>
        <v/>
      </c>
      <c r="D675" s="9" t="str">
        <f>questionnaire!D675</f>
        <v/>
      </c>
      <c r="E675" s="9" t="str">
        <f>questionnaire!E675</f>
        <v/>
      </c>
      <c r="F675" s="9">
        <f>8-questionnaire!F675</f>
        <v>8</v>
      </c>
      <c r="G675" s="9">
        <f>8-questionnaire!G675</f>
        <v>8</v>
      </c>
      <c r="H675" s="9">
        <f>8-questionnaire!H675</f>
        <v>8</v>
      </c>
      <c r="I675" s="9">
        <f>C675*10+D675*5+E675*1.66-(questionnaire!F675*1.66+questionnaire!G675*5+questionnaire!H675*10)</f>
        <v>0</v>
      </c>
    </row>
    <row r="676">
      <c r="A676" s="8" t="str">
        <f>questionnaire!A676</f>
        <v/>
      </c>
      <c r="B676" s="9" t="str">
        <f>questionnaire!B676</f>
        <v/>
      </c>
      <c r="C676" s="9" t="str">
        <f>questionnaire!C676</f>
        <v/>
      </c>
      <c r="D676" s="9" t="str">
        <f>questionnaire!D676</f>
        <v/>
      </c>
      <c r="E676" s="9" t="str">
        <f>questionnaire!E676</f>
        <v/>
      </c>
      <c r="F676" s="9">
        <f>8-questionnaire!F676</f>
        <v>8</v>
      </c>
      <c r="G676" s="9">
        <f>8-questionnaire!G676</f>
        <v>8</v>
      </c>
      <c r="H676" s="9">
        <f>8-questionnaire!H676</f>
        <v>8</v>
      </c>
      <c r="I676" s="9">
        <f>C676*10+D676*5+E676*1.66-(questionnaire!F676*1.66+questionnaire!G676*5+questionnaire!H676*10)</f>
        <v>0</v>
      </c>
    </row>
    <row r="677">
      <c r="A677" s="8" t="str">
        <f>questionnaire!A677</f>
        <v/>
      </c>
      <c r="B677" s="9" t="str">
        <f>questionnaire!B677</f>
        <v/>
      </c>
      <c r="C677" s="9" t="str">
        <f>questionnaire!C677</f>
        <v/>
      </c>
      <c r="D677" s="9" t="str">
        <f>questionnaire!D677</f>
        <v/>
      </c>
      <c r="E677" s="9" t="str">
        <f>questionnaire!E677</f>
        <v/>
      </c>
      <c r="F677" s="9">
        <f>8-questionnaire!F677</f>
        <v>8</v>
      </c>
      <c r="G677" s="9">
        <f>8-questionnaire!G677</f>
        <v>8</v>
      </c>
      <c r="H677" s="9">
        <f>8-questionnaire!H677</f>
        <v>8</v>
      </c>
      <c r="I677" s="9">
        <f>C677*10+D677*5+E677*1.66-(questionnaire!F677*1.66+questionnaire!G677*5+questionnaire!H677*10)</f>
        <v>0</v>
      </c>
    </row>
    <row r="678">
      <c r="A678" s="8" t="str">
        <f>questionnaire!A678</f>
        <v/>
      </c>
      <c r="B678" s="9" t="str">
        <f>questionnaire!B678</f>
        <v/>
      </c>
      <c r="C678" s="9" t="str">
        <f>questionnaire!C678</f>
        <v/>
      </c>
      <c r="D678" s="9" t="str">
        <f>questionnaire!D678</f>
        <v/>
      </c>
      <c r="E678" s="9" t="str">
        <f>questionnaire!E678</f>
        <v/>
      </c>
      <c r="F678" s="9">
        <f>8-questionnaire!F678</f>
        <v>8</v>
      </c>
      <c r="G678" s="9">
        <f>8-questionnaire!G678</f>
        <v>8</v>
      </c>
      <c r="H678" s="9">
        <f>8-questionnaire!H678</f>
        <v>8</v>
      </c>
      <c r="I678" s="9">
        <f>C678*10+D678*5+E678*1.66-(questionnaire!F678*1.66+questionnaire!G678*5+questionnaire!H678*10)</f>
        <v>0</v>
      </c>
    </row>
    <row r="679">
      <c r="A679" s="8" t="str">
        <f>questionnaire!A679</f>
        <v/>
      </c>
      <c r="B679" s="9" t="str">
        <f>questionnaire!B679</f>
        <v/>
      </c>
      <c r="C679" s="9" t="str">
        <f>questionnaire!C679</f>
        <v/>
      </c>
      <c r="D679" s="9" t="str">
        <f>questionnaire!D679</f>
        <v/>
      </c>
      <c r="E679" s="9" t="str">
        <f>questionnaire!E679</f>
        <v/>
      </c>
      <c r="F679" s="9">
        <f>8-questionnaire!F679</f>
        <v>8</v>
      </c>
      <c r="G679" s="9">
        <f>8-questionnaire!G679</f>
        <v>8</v>
      </c>
      <c r="H679" s="9">
        <f>8-questionnaire!H679</f>
        <v>8</v>
      </c>
      <c r="I679" s="9">
        <f>C679*10+D679*5+E679*1.66-(questionnaire!F679*1.66+questionnaire!G679*5+questionnaire!H679*10)</f>
        <v>0</v>
      </c>
    </row>
    <row r="680">
      <c r="A680" s="8" t="str">
        <f>questionnaire!A680</f>
        <v/>
      </c>
      <c r="B680" s="9" t="str">
        <f>questionnaire!B680</f>
        <v/>
      </c>
      <c r="C680" s="9" t="str">
        <f>questionnaire!C680</f>
        <v/>
      </c>
      <c r="D680" s="9" t="str">
        <f>questionnaire!D680</f>
        <v/>
      </c>
      <c r="E680" s="9" t="str">
        <f>questionnaire!E680</f>
        <v/>
      </c>
      <c r="F680" s="9">
        <f>8-questionnaire!F680</f>
        <v>8</v>
      </c>
      <c r="G680" s="9">
        <f>8-questionnaire!G680</f>
        <v>8</v>
      </c>
      <c r="H680" s="9">
        <f>8-questionnaire!H680</f>
        <v>8</v>
      </c>
      <c r="I680" s="9">
        <f>C680*10+D680*5+E680*1.66-(questionnaire!F680*1.66+questionnaire!G680*5+questionnaire!H680*10)</f>
        <v>0</v>
      </c>
    </row>
    <row r="681">
      <c r="A681" s="8" t="str">
        <f>questionnaire!A681</f>
        <v/>
      </c>
      <c r="B681" s="9" t="str">
        <f>questionnaire!B681</f>
        <v/>
      </c>
      <c r="C681" s="9" t="str">
        <f>questionnaire!C681</f>
        <v/>
      </c>
      <c r="D681" s="9" t="str">
        <f>questionnaire!D681</f>
        <v/>
      </c>
      <c r="E681" s="9" t="str">
        <f>questionnaire!E681</f>
        <v/>
      </c>
      <c r="F681" s="9">
        <f>8-questionnaire!F681</f>
        <v>8</v>
      </c>
      <c r="G681" s="9">
        <f>8-questionnaire!G681</f>
        <v>8</v>
      </c>
      <c r="H681" s="9">
        <f>8-questionnaire!H681</f>
        <v>8</v>
      </c>
      <c r="I681" s="9">
        <f>C681*10+D681*5+E681*1.66-(questionnaire!F681*1.66+questionnaire!G681*5+questionnaire!H681*10)</f>
        <v>0</v>
      </c>
    </row>
    <row r="682">
      <c r="A682" s="8" t="str">
        <f>questionnaire!A682</f>
        <v/>
      </c>
      <c r="B682" s="9" t="str">
        <f>questionnaire!B682</f>
        <v/>
      </c>
      <c r="C682" s="9" t="str">
        <f>questionnaire!C682</f>
        <v/>
      </c>
      <c r="D682" s="9" t="str">
        <f>questionnaire!D682</f>
        <v/>
      </c>
      <c r="E682" s="9" t="str">
        <f>questionnaire!E682</f>
        <v/>
      </c>
      <c r="F682" s="9">
        <f>8-questionnaire!F682</f>
        <v>8</v>
      </c>
      <c r="G682" s="9">
        <f>8-questionnaire!G682</f>
        <v>8</v>
      </c>
      <c r="H682" s="9">
        <f>8-questionnaire!H682</f>
        <v>8</v>
      </c>
      <c r="I682" s="9">
        <f>C682*10+D682*5+E682*1.66-(questionnaire!F682*1.66+questionnaire!G682*5+questionnaire!H682*10)</f>
        <v>0</v>
      </c>
    </row>
    <row r="683">
      <c r="A683" s="8" t="str">
        <f>questionnaire!A683</f>
        <v/>
      </c>
      <c r="B683" s="9" t="str">
        <f>questionnaire!B683</f>
        <v/>
      </c>
      <c r="C683" s="9" t="str">
        <f>questionnaire!C683</f>
        <v/>
      </c>
      <c r="D683" s="9" t="str">
        <f>questionnaire!D683</f>
        <v/>
      </c>
      <c r="E683" s="9" t="str">
        <f>questionnaire!E683</f>
        <v/>
      </c>
      <c r="F683" s="9">
        <f>8-questionnaire!F683</f>
        <v>8</v>
      </c>
      <c r="G683" s="9">
        <f>8-questionnaire!G683</f>
        <v>8</v>
      </c>
      <c r="H683" s="9">
        <f>8-questionnaire!H683</f>
        <v>8</v>
      </c>
      <c r="I683" s="9">
        <f>C683*10+D683*5+E683*1.66-(questionnaire!F683*1.66+questionnaire!G683*5+questionnaire!H683*10)</f>
        <v>0</v>
      </c>
    </row>
    <row r="684">
      <c r="A684" s="8" t="str">
        <f>questionnaire!A684</f>
        <v/>
      </c>
      <c r="B684" s="9" t="str">
        <f>questionnaire!B684</f>
        <v/>
      </c>
      <c r="C684" s="9" t="str">
        <f>questionnaire!C684</f>
        <v/>
      </c>
      <c r="D684" s="9" t="str">
        <f>questionnaire!D684</f>
        <v/>
      </c>
      <c r="E684" s="9" t="str">
        <f>questionnaire!E684</f>
        <v/>
      </c>
      <c r="F684" s="9">
        <f>8-questionnaire!F684</f>
        <v>8</v>
      </c>
      <c r="G684" s="9">
        <f>8-questionnaire!G684</f>
        <v>8</v>
      </c>
      <c r="H684" s="9">
        <f>8-questionnaire!H684</f>
        <v>8</v>
      </c>
      <c r="I684" s="9">
        <f>C684*10+D684*5+E684*1.66-(questionnaire!F684*1.66+questionnaire!G684*5+questionnaire!H684*10)</f>
        <v>0</v>
      </c>
    </row>
    <row r="685">
      <c r="A685" s="8" t="str">
        <f>questionnaire!A685</f>
        <v/>
      </c>
      <c r="B685" s="9" t="str">
        <f>questionnaire!B685</f>
        <v/>
      </c>
      <c r="C685" s="9" t="str">
        <f>questionnaire!C685</f>
        <v/>
      </c>
      <c r="D685" s="9" t="str">
        <f>questionnaire!D685</f>
        <v/>
      </c>
      <c r="E685" s="9" t="str">
        <f>questionnaire!E685</f>
        <v/>
      </c>
      <c r="F685" s="9">
        <f>8-questionnaire!F685</f>
        <v>8</v>
      </c>
      <c r="G685" s="9">
        <f>8-questionnaire!G685</f>
        <v>8</v>
      </c>
      <c r="H685" s="9">
        <f>8-questionnaire!H685</f>
        <v>8</v>
      </c>
      <c r="I685" s="9">
        <f>C685*10+D685*5+E685*1.66-(questionnaire!F685*1.66+questionnaire!G685*5+questionnaire!H685*10)</f>
        <v>0</v>
      </c>
    </row>
    <row r="686">
      <c r="A686" s="8" t="str">
        <f>questionnaire!A686</f>
        <v/>
      </c>
      <c r="B686" s="9" t="str">
        <f>questionnaire!B686</f>
        <v/>
      </c>
      <c r="C686" s="9" t="str">
        <f>questionnaire!C686</f>
        <v/>
      </c>
      <c r="D686" s="9" t="str">
        <f>questionnaire!D686</f>
        <v/>
      </c>
      <c r="E686" s="9" t="str">
        <f>questionnaire!E686</f>
        <v/>
      </c>
      <c r="F686" s="9">
        <f>8-questionnaire!F686</f>
        <v>8</v>
      </c>
      <c r="G686" s="9">
        <f>8-questionnaire!G686</f>
        <v>8</v>
      </c>
      <c r="H686" s="9">
        <f>8-questionnaire!H686</f>
        <v>8</v>
      </c>
      <c r="I686" s="9">
        <f>C686*10+D686*5+E686*1.66-(questionnaire!F686*1.66+questionnaire!G686*5+questionnaire!H686*10)</f>
        <v>0</v>
      </c>
    </row>
    <row r="687">
      <c r="A687" s="8" t="str">
        <f>questionnaire!A687</f>
        <v/>
      </c>
      <c r="B687" s="9" t="str">
        <f>questionnaire!B687</f>
        <v/>
      </c>
      <c r="C687" s="9" t="str">
        <f>questionnaire!C687</f>
        <v/>
      </c>
      <c r="D687" s="9" t="str">
        <f>questionnaire!D687</f>
        <v/>
      </c>
      <c r="E687" s="9" t="str">
        <f>questionnaire!E687</f>
        <v/>
      </c>
      <c r="F687" s="9">
        <f>8-questionnaire!F687</f>
        <v>8</v>
      </c>
      <c r="G687" s="9">
        <f>8-questionnaire!G687</f>
        <v>8</v>
      </c>
      <c r="H687" s="9">
        <f>8-questionnaire!H687</f>
        <v>8</v>
      </c>
      <c r="I687" s="9">
        <f>C687*10+D687*5+E687*1.66-(questionnaire!F687*1.66+questionnaire!G687*5+questionnaire!H687*10)</f>
        <v>0</v>
      </c>
    </row>
    <row r="688">
      <c r="A688" s="8" t="str">
        <f>questionnaire!A688</f>
        <v/>
      </c>
      <c r="B688" s="9" t="str">
        <f>questionnaire!B688</f>
        <v/>
      </c>
      <c r="C688" s="9" t="str">
        <f>questionnaire!C688</f>
        <v/>
      </c>
      <c r="D688" s="9" t="str">
        <f>questionnaire!D688</f>
        <v/>
      </c>
      <c r="E688" s="9" t="str">
        <f>questionnaire!E688</f>
        <v/>
      </c>
      <c r="F688" s="9">
        <f>8-questionnaire!F688</f>
        <v>8</v>
      </c>
      <c r="G688" s="9">
        <f>8-questionnaire!G688</f>
        <v>8</v>
      </c>
      <c r="H688" s="9">
        <f>8-questionnaire!H688</f>
        <v>8</v>
      </c>
      <c r="I688" s="9">
        <f>C688*10+D688*5+E688*1.66-(questionnaire!F688*1.66+questionnaire!G688*5+questionnaire!H688*10)</f>
        <v>0</v>
      </c>
    </row>
    <row r="689">
      <c r="A689" s="8" t="str">
        <f>questionnaire!A689</f>
        <v/>
      </c>
      <c r="B689" s="9" t="str">
        <f>questionnaire!B689</f>
        <v/>
      </c>
      <c r="C689" s="9" t="str">
        <f>questionnaire!C689</f>
        <v/>
      </c>
      <c r="D689" s="9" t="str">
        <f>questionnaire!D689</f>
        <v/>
      </c>
      <c r="E689" s="9" t="str">
        <f>questionnaire!E689</f>
        <v/>
      </c>
      <c r="F689" s="9">
        <f>8-questionnaire!F689</f>
        <v>8</v>
      </c>
      <c r="G689" s="9">
        <f>8-questionnaire!G689</f>
        <v>8</v>
      </c>
      <c r="H689" s="9">
        <f>8-questionnaire!H689</f>
        <v>8</v>
      </c>
      <c r="I689" s="9">
        <f>C689*10+D689*5+E689*1.66-(questionnaire!F689*1.66+questionnaire!G689*5+questionnaire!H689*10)</f>
        <v>0</v>
      </c>
    </row>
    <row r="690">
      <c r="A690" s="8" t="str">
        <f>questionnaire!A690</f>
        <v/>
      </c>
      <c r="B690" s="9" t="str">
        <f>questionnaire!B690</f>
        <v/>
      </c>
      <c r="C690" s="9" t="str">
        <f>questionnaire!C690</f>
        <v/>
      </c>
      <c r="D690" s="9" t="str">
        <f>questionnaire!D690</f>
        <v/>
      </c>
      <c r="E690" s="9" t="str">
        <f>questionnaire!E690</f>
        <v/>
      </c>
      <c r="F690" s="9">
        <f>8-questionnaire!F690</f>
        <v>8</v>
      </c>
      <c r="G690" s="9">
        <f>8-questionnaire!G690</f>
        <v>8</v>
      </c>
      <c r="H690" s="9">
        <f>8-questionnaire!H690</f>
        <v>8</v>
      </c>
      <c r="I690" s="9">
        <f>C690*10+D690*5+E690*1.66-(questionnaire!F690*1.66+questionnaire!G690*5+questionnaire!H690*10)</f>
        <v>0</v>
      </c>
    </row>
    <row r="691">
      <c r="A691" s="8" t="str">
        <f>questionnaire!A691</f>
        <v/>
      </c>
      <c r="B691" s="9" t="str">
        <f>questionnaire!B691</f>
        <v/>
      </c>
      <c r="C691" s="9" t="str">
        <f>questionnaire!C691</f>
        <v/>
      </c>
      <c r="D691" s="9" t="str">
        <f>questionnaire!D691</f>
        <v/>
      </c>
      <c r="E691" s="9" t="str">
        <f>questionnaire!E691</f>
        <v/>
      </c>
      <c r="F691" s="9">
        <f>8-questionnaire!F691</f>
        <v>8</v>
      </c>
      <c r="G691" s="9">
        <f>8-questionnaire!G691</f>
        <v>8</v>
      </c>
      <c r="H691" s="9">
        <f>8-questionnaire!H691</f>
        <v>8</v>
      </c>
      <c r="I691" s="9">
        <f>C691*10+D691*5+E691*1.66-(questionnaire!F691*1.66+questionnaire!G691*5+questionnaire!H691*10)</f>
        <v>0</v>
      </c>
    </row>
    <row r="692">
      <c r="A692" s="8" t="str">
        <f>questionnaire!A692</f>
        <v/>
      </c>
      <c r="B692" s="9" t="str">
        <f>questionnaire!B692</f>
        <v/>
      </c>
      <c r="C692" s="9" t="str">
        <f>questionnaire!C692</f>
        <v/>
      </c>
      <c r="D692" s="9" t="str">
        <f>questionnaire!D692</f>
        <v/>
      </c>
      <c r="E692" s="9" t="str">
        <f>questionnaire!E692</f>
        <v/>
      </c>
      <c r="F692" s="9">
        <f>8-questionnaire!F692</f>
        <v>8</v>
      </c>
      <c r="G692" s="9">
        <f>8-questionnaire!G692</f>
        <v>8</v>
      </c>
      <c r="H692" s="9">
        <f>8-questionnaire!H692</f>
        <v>8</v>
      </c>
      <c r="I692" s="9">
        <f>C692*10+D692*5+E692*1.66-(questionnaire!F692*1.66+questionnaire!G692*5+questionnaire!H692*10)</f>
        <v>0</v>
      </c>
    </row>
    <row r="693">
      <c r="A693" s="8" t="str">
        <f>questionnaire!A693</f>
        <v/>
      </c>
      <c r="B693" s="9" t="str">
        <f>questionnaire!B693</f>
        <v/>
      </c>
      <c r="C693" s="9" t="str">
        <f>questionnaire!C693</f>
        <v/>
      </c>
      <c r="D693" s="9" t="str">
        <f>questionnaire!D693</f>
        <v/>
      </c>
      <c r="E693" s="9" t="str">
        <f>questionnaire!E693</f>
        <v/>
      </c>
      <c r="F693" s="9">
        <f>8-questionnaire!F693</f>
        <v>8</v>
      </c>
      <c r="G693" s="9">
        <f>8-questionnaire!G693</f>
        <v>8</v>
      </c>
      <c r="H693" s="9">
        <f>8-questionnaire!H693</f>
        <v>8</v>
      </c>
      <c r="I693" s="9">
        <f>C693*10+D693*5+E693*1.66-(questionnaire!F693*1.66+questionnaire!G693*5+questionnaire!H693*10)</f>
        <v>0</v>
      </c>
    </row>
    <row r="694">
      <c r="A694" s="8" t="str">
        <f>questionnaire!A694</f>
        <v/>
      </c>
      <c r="B694" s="9" t="str">
        <f>questionnaire!B694</f>
        <v/>
      </c>
      <c r="C694" s="9" t="str">
        <f>questionnaire!C694</f>
        <v/>
      </c>
      <c r="D694" s="9" t="str">
        <f>questionnaire!D694</f>
        <v/>
      </c>
      <c r="E694" s="9" t="str">
        <f>questionnaire!E694</f>
        <v/>
      </c>
      <c r="F694" s="9">
        <f>8-questionnaire!F694</f>
        <v>8</v>
      </c>
      <c r="G694" s="9">
        <f>8-questionnaire!G694</f>
        <v>8</v>
      </c>
      <c r="H694" s="9">
        <f>8-questionnaire!H694</f>
        <v>8</v>
      </c>
      <c r="I694" s="9">
        <f>C694*10+D694*5+E694*1.66-(questionnaire!F694*1.66+questionnaire!G694*5+questionnaire!H694*10)</f>
        <v>0</v>
      </c>
    </row>
    <row r="695">
      <c r="A695" s="8" t="str">
        <f>questionnaire!A695</f>
        <v/>
      </c>
      <c r="B695" s="9" t="str">
        <f>questionnaire!B695</f>
        <v/>
      </c>
      <c r="C695" s="9" t="str">
        <f>questionnaire!C695</f>
        <v/>
      </c>
      <c r="D695" s="9" t="str">
        <f>questionnaire!D695</f>
        <v/>
      </c>
      <c r="E695" s="9" t="str">
        <f>questionnaire!E695</f>
        <v/>
      </c>
      <c r="F695" s="9">
        <f>8-questionnaire!F695</f>
        <v>8</v>
      </c>
      <c r="G695" s="9">
        <f>8-questionnaire!G695</f>
        <v>8</v>
      </c>
      <c r="H695" s="9">
        <f>8-questionnaire!H695</f>
        <v>8</v>
      </c>
      <c r="I695" s="9">
        <f>C695*10+D695*5+E695*1.66-(questionnaire!F695*1.66+questionnaire!G695*5+questionnaire!H695*10)</f>
        <v>0</v>
      </c>
    </row>
    <row r="696">
      <c r="A696" s="8" t="str">
        <f>questionnaire!A696</f>
        <v/>
      </c>
      <c r="B696" s="9" t="str">
        <f>questionnaire!B696</f>
        <v/>
      </c>
      <c r="C696" s="9" t="str">
        <f>questionnaire!C696</f>
        <v/>
      </c>
      <c r="D696" s="9" t="str">
        <f>questionnaire!D696</f>
        <v/>
      </c>
      <c r="E696" s="9" t="str">
        <f>questionnaire!E696</f>
        <v/>
      </c>
      <c r="F696" s="9">
        <f>8-questionnaire!F696</f>
        <v>8</v>
      </c>
      <c r="G696" s="9">
        <f>8-questionnaire!G696</f>
        <v>8</v>
      </c>
      <c r="H696" s="9">
        <f>8-questionnaire!H696</f>
        <v>8</v>
      </c>
      <c r="I696" s="9">
        <f>C696*10+D696*5+E696*1.66-(questionnaire!F696*1.66+questionnaire!G696*5+questionnaire!H696*10)</f>
        <v>0</v>
      </c>
    </row>
    <row r="697">
      <c r="A697" s="8" t="str">
        <f>questionnaire!A697</f>
        <v/>
      </c>
      <c r="B697" s="9" t="str">
        <f>questionnaire!B697</f>
        <v/>
      </c>
      <c r="C697" s="9" t="str">
        <f>questionnaire!C697</f>
        <v/>
      </c>
      <c r="D697" s="9" t="str">
        <f>questionnaire!D697</f>
        <v/>
      </c>
      <c r="E697" s="9" t="str">
        <f>questionnaire!E697</f>
        <v/>
      </c>
      <c r="F697" s="9">
        <f>8-questionnaire!F697</f>
        <v>8</v>
      </c>
      <c r="G697" s="9">
        <f>8-questionnaire!G697</f>
        <v>8</v>
      </c>
      <c r="H697" s="9">
        <f>8-questionnaire!H697</f>
        <v>8</v>
      </c>
      <c r="I697" s="9">
        <f>C697*10+D697*5+E697*1.66-(questionnaire!F697*1.66+questionnaire!G697*5+questionnaire!H697*10)</f>
        <v>0</v>
      </c>
    </row>
    <row r="698">
      <c r="A698" s="8" t="str">
        <f>questionnaire!A698</f>
        <v/>
      </c>
      <c r="B698" s="9" t="str">
        <f>questionnaire!B698</f>
        <v/>
      </c>
      <c r="C698" s="9" t="str">
        <f>questionnaire!C698</f>
        <v/>
      </c>
      <c r="D698" s="9" t="str">
        <f>questionnaire!D698</f>
        <v/>
      </c>
      <c r="E698" s="9" t="str">
        <f>questionnaire!E698</f>
        <v/>
      </c>
      <c r="F698" s="9">
        <f>8-questionnaire!F698</f>
        <v>8</v>
      </c>
      <c r="G698" s="9">
        <f>8-questionnaire!G698</f>
        <v>8</v>
      </c>
      <c r="H698" s="9">
        <f>8-questionnaire!H698</f>
        <v>8</v>
      </c>
      <c r="I698" s="9">
        <f>C698*10+D698*5+E698*1.66-(questionnaire!F698*1.66+questionnaire!G698*5+questionnaire!H698*10)</f>
        <v>0</v>
      </c>
    </row>
    <row r="699">
      <c r="A699" s="8" t="str">
        <f>questionnaire!A699</f>
        <v/>
      </c>
      <c r="B699" s="9" t="str">
        <f>questionnaire!B699</f>
        <v/>
      </c>
      <c r="C699" s="9" t="str">
        <f>questionnaire!C699</f>
        <v/>
      </c>
      <c r="D699" s="9" t="str">
        <f>questionnaire!D699</f>
        <v/>
      </c>
      <c r="E699" s="9" t="str">
        <f>questionnaire!E699</f>
        <v/>
      </c>
      <c r="F699" s="9">
        <f>8-questionnaire!F699</f>
        <v>8</v>
      </c>
      <c r="G699" s="9">
        <f>8-questionnaire!G699</f>
        <v>8</v>
      </c>
      <c r="H699" s="9">
        <f>8-questionnaire!H699</f>
        <v>8</v>
      </c>
      <c r="I699" s="9">
        <f>C699*10+D699*5+E699*1.66-(questionnaire!F699*1.66+questionnaire!G699*5+questionnaire!H699*10)</f>
        <v>0</v>
      </c>
    </row>
    <row r="700">
      <c r="A700" s="8" t="str">
        <f>questionnaire!A700</f>
        <v/>
      </c>
      <c r="B700" s="9" t="str">
        <f>questionnaire!B700</f>
        <v/>
      </c>
      <c r="C700" s="9" t="str">
        <f>questionnaire!C700</f>
        <v/>
      </c>
      <c r="D700" s="9" t="str">
        <f>questionnaire!D700</f>
        <v/>
      </c>
      <c r="E700" s="9" t="str">
        <f>questionnaire!E700</f>
        <v/>
      </c>
      <c r="F700" s="9">
        <f>8-questionnaire!F700</f>
        <v>8</v>
      </c>
      <c r="G700" s="9">
        <f>8-questionnaire!G700</f>
        <v>8</v>
      </c>
      <c r="H700" s="9">
        <f>8-questionnaire!H700</f>
        <v>8</v>
      </c>
      <c r="I700" s="9">
        <f>C700*10+D700*5+E700*1.66-(questionnaire!F700*1.66+questionnaire!G700*5+questionnaire!H700*10)</f>
        <v>0</v>
      </c>
    </row>
    <row r="701">
      <c r="A701" s="8" t="str">
        <f>questionnaire!A701</f>
        <v/>
      </c>
      <c r="B701" s="9" t="str">
        <f>questionnaire!B701</f>
        <v/>
      </c>
      <c r="C701" s="9" t="str">
        <f>questionnaire!C701</f>
        <v/>
      </c>
      <c r="D701" s="9" t="str">
        <f>questionnaire!D701</f>
        <v/>
      </c>
      <c r="E701" s="9" t="str">
        <f>questionnaire!E701</f>
        <v/>
      </c>
      <c r="F701" s="9">
        <f>8-questionnaire!F701</f>
        <v>8</v>
      </c>
      <c r="G701" s="9">
        <f>8-questionnaire!G701</f>
        <v>8</v>
      </c>
      <c r="H701" s="9">
        <f>8-questionnaire!H701</f>
        <v>8</v>
      </c>
      <c r="I701" s="9">
        <f>C701*10+D701*5+E701*1.66-(questionnaire!F701*1.66+questionnaire!G701*5+questionnaire!H701*10)</f>
        <v>0</v>
      </c>
    </row>
    <row r="702">
      <c r="A702" s="8" t="str">
        <f>questionnaire!A702</f>
        <v/>
      </c>
      <c r="B702" s="9" t="str">
        <f>questionnaire!B702</f>
        <v/>
      </c>
      <c r="C702" s="9" t="str">
        <f>questionnaire!C702</f>
        <v/>
      </c>
      <c r="D702" s="9" t="str">
        <f>questionnaire!D702</f>
        <v/>
      </c>
      <c r="E702" s="9" t="str">
        <f>questionnaire!E702</f>
        <v/>
      </c>
      <c r="F702" s="9">
        <f>8-questionnaire!F702</f>
        <v>8</v>
      </c>
      <c r="G702" s="9">
        <f>8-questionnaire!G702</f>
        <v>8</v>
      </c>
      <c r="H702" s="9">
        <f>8-questionnaire!H702</f>
        <v>8</v>
      </c>
      <c r="I702" s="9">
        <f>C702*10+D702*5+E702*1.66-(questionnaire!F702*1.66+questionnaire!G702*5+questionnaire!H702*10)</f>
        <v>0</v>
      </c>
    </row>
    <row r="703">
      <c r="A703" s="8" t="str">
        <f>questionnaire!A703</f>
        <v/>
      </c>
      <c r="B703" s="9" t="str">
        <f>questionnaire!B703</f>
        <v/>
      </c>
      <c r="C703" s="9" t="str">
        <f>questionnaire!C703</f>
        <v/>
      </c>
      <c r="D703" s="9" t="str">
        <f>questionnaire!D703</f>
        <v/>
      </c>
      <c r="E703" s="9" t="str">
        <f>questionnaire!E703</f>
        <v/>
      </c>
      <c r="F703" s="9">
        <f>8-questionnaire!F703</f>
        <v>8</v>
      </c>
      <c r="G703" s="9">
        <f>8-questionnaire!G703</f>
        <v>8</v>
      </c>
      <c r="H703" s="9">
        <f>8-questionnaire!H703</f>
        <v>8</v>
      </c>
      <c r="I703" s="9">
        <f>C703*10+D703*5+E703*1.66-(questionnaire!F703*1.66+questionnaire!G703*5+questionnaire!H703*10)</f>
        <v>0</v>
      </c>
    </row>
    <row r="704">
      <c r="A704" s="8" t="str">
        <f>questionnaire!A704</f>
        <v/>
      </c>
      <c r="B704" s="9" t="str">
        <f>questionnaire!B704</f>
        <v/>
      </c>
      <c r="C704" s="9" t="str">
        <f>questionnaire!C704</f>
        <v/>
      </c>
      <c r="D704" s="9" t="str">
        <f>questionnaire!D704</f>
        <v/>
      </c>
      <c r="E704" s="9" t="str">
        <f>questionnaire!E704</f>
        <v/>
      </c>
      <c r="F704" s="9">
        <f>8-questionnaire!F704</f>
        <v>8</v>
      </c>
      <c r="G704" s="9">
        <f>8-questionnaire!G704</f>
        <v>8</v>
      </c>
      <c r="H704" s="9">
        <f>8-questionnaire!H704</f>
        <v>8</v>
      </c>
      <c r="I704" s="9">
        <f>C704*10+D704*5+E704*1.66-(questionnaire!F704*1.66+questionnaire!G704*5+questionnaire!H704*10)</f>
        <v>0</v>
      </c>
    </row>
    <row r="705">
      <c r="A705" s="8" t="str">
        <f>questionnaire!A705</f>
        <v/>
      </c>
      <c r="B705" s="9" t="str">
        <f>questionnaire!B705</f>
        <v/>
      </c>
      <c r="C705" s="9" t="str">
        <f>questionnaire!C705</f>
        <v/>
      </c>
      <c r="D705" s="9" t="str">
        <f>questionnaire!D705</f>
        <v/>
      </c>
      <c r="E705" s="9" t="str">
        <f>questionnaire!E705</f>
        <v/>
      </c>
      <c r="F705" s="9">
        <f>8-questionnaire!F705</f>
        <v>8</v>
      </c>
      <c r="G705" s="9">
        <f>8-questionnaire!G705</f>
        <v>8</v>
      </c>
      <c r="H705" s="9">
        <f>8-questionnaire!H705</f>
        <v>8</v>
      </c>
      <c r="I705" s="9">
        <f>C705*10+D705*5+E705*1.66-(questionnaire!F705*1.66+questionnaire!G705*5+questionnaire!H705*10)</f>
        <v>0</v>
      </c>
    </row>
    <row r="706">
      <c r="A706" s="8" t="str">
        <f>questionnaire!A706</f>
        <v/>
      </c>
      <c r="B706" s="9" t="str">
        <f>questionnaire!B706</f>
        <v/>
      </c>
      <c r="C706" s="9" t="str">
        <f>questionnaire!C706</f>
        <v/>
      </c>
      <c r="D706" s="9" t="str">
        <f>questionnaire!D706</f>
        <v/>
      </c>
      <c r="E706" s="9" t="str">
        <f>questionnaire!E706</f>
        <v/>
      </c>
      <c r="F706" s="9">
        <f>8-questionnaire!F706</f>
        <v>8</v>
      </c>
      <c r="G706" s="9">
        <f>8-questionnaire!G706</f>
        <v>8</v>
      </c>
      <c r="H706" s="9">
        <f>8-questionnaire!H706</f>
        <v>8</v>
      </c>
      <c r="I706" s="9">
        <f>C706*10+D706*5+E706*1.66-(questionnaire!F706*1.66+questionnaire!G706*5+questionnaire!H706*10)</f>
        <v>0</v>
      </c>
    </row>
    <row r="707">
      <c r="A707" s="8" t="str">
        <f>questionnaire!A707</f>
        <v/>
      </c>
      <c r="B707" s="9" t="str">
        <f>questionnaire!B707</f>
        <v/>
      </c>
      <c r="C707" s="9" t="str">
        <f>questionnaire!C707</f>
        <v/>
      </c>
      <c r="D707" s="9" t="str">
        <f>questionnaire!D707</f>
        <v/>
      </c>
      <c r="E707" s="9" t="str">
        <f>questionnaire!E707</f>
        <v/>
      </c>
      <c r="F707" s="9">
        <f>8-questionnaire!F707</f>
        <v>8</v>
      </c>
      <c r="G707" s="9">
        <f>8-questionnaire!G707</f>
        <v>8</v>
      </c>
      <c r="H707" s="9">
        <f>8-questionnaire!H707</f>
        <v>8</v>
      </c>
      <c r="I707" s="9">
        <f>C707*10+D707*5+E707*1.66-(questionnaire!F707*1.66+questionnaire!G707*5+questionnaire!H707*10)</f>
        <v>0</v>
      </c>
    </row>
    <row r="708">
      <c r="A708" s="8" t="str">
        <f>questionnaire!A708</f>
        <v/>
      </c>
      <c r="B708" s="9" t="str">
        <f>questionnaire!B708</f>
        <v/>
      </c>
      <c r="C708" s="9" t="str">
        <f>questionnaire!C708</f>
        <v/>
      </c>
      <c r="D708" s="9" t="str">
        <f>questionnaire!D708</f>
        <v/>
      </c>
      <c r="E708" s="9" t="str">
        <f>questionnaire!E708</f>
        <v/>
      </c>
      <c r="F708" s="9">
        <f>8-questionnaire!F708</f>
        <v>8</v>
      </c>
      <c r="G708" s="9">
        <f>8-questionnaire!G708</f>
        <v>8</v>
      </c>
      <c r="H708" s="9">
        <f>8-questionnaire!H708</f>
        <v>8</v>
      </c>
      <c r="I708" s="9">
        <f>C708*10+D708*5+E708*1.66-(questionnaire!F708*1.66+questionnaire!G708*5+questionnaire!H708*10)</f>
        <v>0</v>
      </c>
    </row>
    <row r="709">
      <c r="A709" s="8" t="str">
        <f>questionnaire!A709</f>
        <v/>
      </c>
      <c r="B709" s="9" t="str">
        <f>questionnaire!B709</f>
        <v/>
      </c>
      <c r="C709" s="9" t="str">
        <f>questionnaire!C709</f>
        <v/>
      </c>
      <c r="D709" s="9" t="str">
        <f>questionnaire!D709</f>
        <v/>
      </c>
      <c r="E709" s="9" t="str">
        <f>questionnaire!E709</f>
        <v/>
      </c>
      <c r="F709" s="9">
        <f>8-questionnaire!F709</f>
        <v>8</v>
      </c>
      <c r="G709" s="9">
        <f>8-questionnaire!G709</f>
        <v>8</v>
      </c>
      <c r="H709" s="9">
        <f>8-questionnaire!H709</f>
        <v>8</v>
      </c>
      <c r="I709" s="9">
        <f>C709*10+D709*5+E709*1.66-(questionnaire!F709*1.66+questionnaire!G709*5+questionnaire!H709*10)</f>
        <v>0</v>
      </c>
    </row>
    <row r="710">
      <c r="A710" s="8" t="str">
        <f>questionnaire!A710</f>
        <v/>
      </c>
      <c r="B710" s="9" t="str">
        <f>questionnaire!B710</f>
        <v/>
      </c>
      <c r="C710" s="9" t="str">
        <f>questionnaire!C710</f>
        <v/>
      </c>
      <c r="D710" s="9" t="str">
        <f>questionnaire!D710</f>
        <v/>
      </c>
      <c r="E710" s="9" t="str">
        <f>questionnaire!E710</f>
        <v/>
      </c>
      <c r="F710" s="9">
        <f>8-questionnaire!F710</f>
        <v>8</v>
      </c>
      <c r="G710" s="9">
        <f>8-questionnaire!G710</f>
        <v>8</v>
      </c>
      <c r="H710" s="9">
        <f>8-questionnaire!H710</f>
        <v>8</v>
      </c>
      <c r="I710" s="9">
        <f>C710*10+D710*5+E710*1.66-(questionnaire!F710*1.66+questionnaire!G710*5+questionnaire!H710*10)</f>
        <v>0</v>
      </c>
    </row>
    <row r="711">
      <c r="A711" s="8" t="str">
        <f>questionnaire!A711</f>
        <v/>
      </c>
      <c r="B711" s="9" t="str">
        <f>questionnaire!B711</f>
        <v/>
      </c>
      <c r="C711" s="9" t="str">
        <f>questionnaire!C711</f>
        <v/>
      </c>
      <c r="D711" s="9" t="str">
        <f>questionnaire!D711</f>
        <v/>
      </c>
      <c r="E711" s="9" t="str">
        <f>questionnaire!E711</f>
        <v/>
      </c>
      <c r="F711" s="9">
        <f>8-questionnaire!F711</f>
        <v>8</v>
      </c>
      <c r="G711" s="9">
        <f>8-questionnaire!G711</f>
        <v>8</v>
      </c>
      <c r="H711" s="9">
        <f>8-questionnaire!H711</f>
        <v>8</v>
      </c>
      <c r="I711" s="9">
        <f>C711*10+D711*5+E711*1.66-(questionnaire!F711*1.66+questionnaire!G711*5+questionnaire!H711*10)</f>
        <v>0</v>
      </c>
    </row>
    <row r="712">
      <c r="A712" s="8" t="str">
        <f>questionnaire!A712</f>
        <v/>
      </c>
      <c r="B712" s="9" t="str">
        <f>questionnaire!B712</f>
        <v/>
      </c>
      <c r="C712" s="9" t="str">
        <f>questionnaire!C712</f>
        <v/>
      </c>
      <c r="D712" s="9" t="str">
        <f>questionnaire!D712</f>
        <v/>
      </c>
      <c r="E712" s="9" t="str">
        <f>questionnaire!E712</f>
        <v/>
      </c>
      <c r="F712" s="9">
        <f>8-questionnaire!F712</f>
        <v>8</v>
      </c>
      <c r="G712" s="9">
        <f>8-questionnaire!G712</f>
        <v>8</v>
      </c>
      <c r="H712" s="9">
        <f>8-questionnaire!H712</f>
        <v>8</v>
      </c>
      <c r="I712" s="9">
        <f>C712*10+D712*5+E712*1.66-(questionnaire!F712*1.66+questionnaire!G712*5+questionnaire!H712*10)</f>
        <v>0</v>
      </c>
    </row>
    <row r="713">
      <c r="A713" s="8" t="str">
        <f>questionnaire!A713</f>
        <v/>
      </c>
      <c r="B713" s="9" t="str">
        <f>questionnaire!B713</f>
        <v/>
      </c>
      <c r="C713" s="9" t="str">
        <f>questionnaire!C713</f>
        <v/>
      </c>
      <c r="D713" s="9" t="str">
        <f>questionnaire!D713</f>
        <v/>
      </c>
      <c r="E713" s="9" t="str">
        <f>questionnaire!E713</f>
        <v/>
      </c>
      <c r="F713" s="9">
        <f>8-questionnaire!F713</f>
        <v>8</v>
      </c>
      <c r="G713" s="9">
        <f>8-questionnaire!G713</f>
        <v>8</v>
      </c>
      <c r="H713" s="9">
        <f>8-questionnaire!H713</f>
        <v>8</v>
      </c>
      <c r="I713" s="9">
        <f>C713*10+D713*5+E713*1.66-(questionnaire!F713*1.66+questionnaire!G713*5+questionnaire!H713*10)</f>
        <v>0</v>
      </c>
    </row>
    <row r="714">
      <c r="A714" s="8" t="str">
        <f>questionnaire!A714</f>
        <v/>
      </c>
      <c r="B714" s="9" t="str">
        <f>questionnaire!B714</f>
        <v/>
      </c>
      <c r="C714" s="9" t="str">
        <f>questionnaire!C714</f>
        <v/>
      </c>
      <c r="D714" s="9" t="str">
        <f>questionnaire!D714</f>
        <v/>
      </c>
      <c r="E714" s="9" t="str">
        <f>questionnaire!E714</f>
        <v/>
      </c>
      <c r="F714" s="9">
        <f>8-questionnaire!F714</f>
        <v>8</v>
      </c>
      <c r="G714" s="9">
        <f>8-questionnaire!G714</f>
        <v>8</v>
      </c>
      <c r="H714" s="9">
        <f>8-questionnaire!H714</f>
        <v>8</v>
      </c>
      <c r="I714" s="9">
        <f>C714*10+D714*5+E714*1.66-(questionnaire!F714*1.66+questionnaire!G714*5+questionnaire!H714*10)</f>
        <v>0</v>
      </c>
    </row>
    <row r="715">
      <c r="A715" s="8" t="str">
        <f>questionnaire!A715</f>
        <v/>
      </c>
      <c r="B715" s="9" t="str">
        <f>questionnaire!B715</f>
        <v/>
      </c>
      <c r="C715" s="9" t="str">
        <f>questionnaire!C715</f>
        <v/>
      </c>
      <c r="D715" s="9" t="str">
        <f>questionnaire!D715</f>
        <v/>
      </c>
      <c r="E715" s="9" t="str">
        <f>questionnaire!E715</f>
        <v/>
      </c>
      <c r="F715" s="9">
        <f>8-questionnaire!F715</f>
        <v>8</v>
      </c>
      <c r="G715" s="9">
        <f>8-questionnaire!G715</f>
        <v>8</v>
      </c>
      <c r="H715" s="9">
        <f>8-questionnaire!H715</f>
        <v>8</v>
      </c>
      <c r="I715" s="9">
        <f>C715*10+D715*5+E715*1.66-(questionnaire!F715*1.66+questionnaire!G715*5+questionnaire!H715*10)</f>
        <v>0</v>
      </c>
    </row>
    <row r="716">
      <c r="A716" s="8" t="str">
        <f>questionnaire!A716</f>
        <v/>
      </c>
      <c r="B716" s="9" t="str">
        <f>questionnaire!B716</f>
        <v/>
      </c>
      <c r="C716" s="9" t="str">
        <f>questionnaire!C716</f>
        <v/>
      </c>
      <c r="D716" s="9" t="str">
        <f>questionnaire!D716</f>
        <v/>
      </c>
      <c r="E716" s="9" t="str">
        <f>questionnaire!E716</f>
        <v/>
      </c>
      <c r="F716" s="9">
        <f>8-questionnaire!F716</f>
        <v>8</v>
      </c>
      <c r="G716" s="9">
        <f>8-questionnaire!G716</f>
        <v>8</v>
      </c>
      <c r="H716" s="9">
        <f>8-questionnaire!H716</f>
        <v>8</v>
      </c>
      <c r="I716" s="9">
        <f>C716*10+D716*5+E716*1.66-(questionnaire!F716*1.66+questionnaire!G716*5+questionnaire!H716*10)</f>
        <v>0</v>
      </c>
    </row>
    <row r="717">
      <c r="A717" s="8" t="str">
        <f>questionnaire!A717</f>
        <v/>
      </c>
      <c r="B717" s="9" t="str">
        <f>questionnaire!B717</f>
        <v/>
      </c>
      <c r="C717" s="9" t="str">
        <f>questionnaire!C717</f>
        <v/>
      </c>
      <c r="D717" s="9" t="str">
        <f>questionnaire!D717</f>
        <v/>
      </c>
      <c r="E717" s="9" t="str">
        <f>questionnaire!E717</f>
        <v/>
      </c>
      <c r="F717" s="9">
        <f>8-questionnaire!F717</f>
        <v>8</v>
      </c>
      <c r="G717" s="9">
        <f>8-questionnaire!G717</f>
        <v>8</v>
      </c>
      <c r="H717" s="9">
        <f>8-questionnaire!H717</f>
        <v>8</v>
      </c>
      <c r="I717" s="9">
        <f>C717*10+D717*5+E717*1.66-(questionnaire!F717*1.66+questionnaire!G717*5+questionnaire!H717*10)</f>
        <v>0</v>
      </c>
    </row>
    <row r="718">
      <c r="A718" s="8" t="str">
        <f>questionnaire!A718</f>
        <v/>
      </c>
      <c r="B718" s="9" t="str">
        <f>questionnaire!B718</f>
        <v/>
      </c>
      <c r="C718" s="9" t="str">
        <f>questionnaire!C718</f>
        <v/>
      </c>
      <c r="D718" s="9" t="str">
        <f>questionnaire!D718</f>
        <v/>
      </c>
      <c r="E718" s="9" t="str">
        <f>questionnaire!E718</f>
        <v/>
      </c>
      <c r="F718" s="9">
        <f>8-questionnaire!F718</f>
        <v>8</v>
      </c>
      <c r="G718" s="9">
        <f>8-questionnaire!G718</f>
        <v>8</v>
      </c>
      <c r="H718" s="9">
        <f>8-questionnaire!H718</f>
        <v>8</v>
      </c>
      <c r="I718" s="9">
        <f>C718*10+D718*5+E718*1.66-(questionnaire!F718*1.66+questionnaire!G718*5+questionnaire!H718*10)</f>
        <v>0</v>
      </c>
    </row>
    <row r="719">
      <c r="A719" s="8" t="str">
        <f>questionnaire!A719</f>
        <v/>
      </c>
      <c r="B719" s="9" t="str">
        <f>questionnaire!B719</f>
        <v/>
      </c>
      <c r="C719" s="9" t="str">
        <f>questionnaire!C719</f>
        <v/>
      </c>
      <c r="D719" s="9" t="str">
        <f>questionnaire!D719</f>
        <v/>
      </c>
      <c r="E719" s="9" t="str">
        <f>questionnaire!E719</f>
        <v/>
      </c>
      <c r="F719" s="9">
        <f>8-questionnaire!F719</f>
        <v>8</v>
      </c>
      <c r="G719" s="9">
        <f>8-questionnaire!G719</f>
        <v>8</v>
      </c>
      <c r="H719" s="9">
        <f>8-questionnaire!H719</f>
        <v>8</v>
      </c>
      <c r="I719" s="9">
        <f>C719*10+D719*5+E719*1.66-(questionnaire!F719*1.66+questionnaire!G719*5+questionnaire!H719*10)</f>
        <v>0</v>
      </c>
    </row>
    <row r="720">
      <c r="A720" s="8" t="str">
        <f>questionnaire!A720</f>
        <v/>
      </c>
      <c r="B720" s="9" t="str">
        <f>questionnaire!B720</f>
        <v/>
      </c>
      <c r="C720" s="9" t="str">
        <f>questionnaire!C720</f>
        <v/>
      </c>
      <c r="D720" s="9" t="str">
        <f>questionnaire!D720</f>
        <v/>
      </c>
      <c r="E720" s="9" t="str">
        <f>questionnaire!E720</f>
        <v/>
      </c>
      <c r="F720" s="9">
        <f>8-questionnaire!F720</f>
        <v>8</v>
      </c>
      <c r="G720" s="9">
        <f>8-questionnaire!G720</f>
        <v>8</v>
      </c>
      <c r="H720" s="9">
        <f>8-questionnaire!H720</f>
        <v>8</v>
      </c>
      <c r="I720" s="9">
        <f>C720*10+D720*5+E720*1.66-(questionnaire!F720*1.66+questionnaire!G720*5+questionnaire!H720*10)</f>
        <v>0</v>
      </c>
    </row>
    <row r="721">
      <c r="A721" s="8" t="str">
        <f>questionnaire!A721</f>
        <v/>
      </c>
      <c r="B721" s="9" t="str">
        <f>questionnaire!B721</f>
        <v/>
      </c>
      <c r="C721" s="9" t="str">
        <f>questionnaire!C721</f>
        <v/>
      </c>
      <c r="D721" s="9" t="str">
        <f>questionnaire!D721</f>
        <v/>
      </c>
      <c r="E721" s="9" t="str">
        <f>questionnaire!E721</f>
        <v/>
      </c>
      <c r="F721" s="9">
        <f>8-questionnaire!F721</f>
        <v>8</v>
      </c>
      <c r="G721" s="9">
        <f>8-questionnaire!G721</f>
        <v>8</v>
      </c>
      <c r="H721" s="9">
        <f>8-questionnaire!H721</f>
        <v>8</v>
      </c>
      <c r="I721" s="9">
        <f>C721*10+D721*5+E721*1.66-(questionnaire!F721*1.66+questionnaire!G721*5+questionnaire!H721*10)</f>
        <v>0</v>
      </c>
    </row>
    <row r="722">
      <c r="A722" s="8" t="str">
        <f>questionnaire!A722</f>
        <v/>
      </c>
      <c r="B722" s="9" t="str">
        <f>questionnaire!B722</f>
        <v/>
      </c>
      <c r="C722" s="9" t="str">
        <f>questionnaire!C722</f>
        <v/>
      </c>
      <c r="D722" s="9" t="str">
        <f>questionnaire!D722</f>
        <v/>
      </c>
      <c r="E722" s="9" t="str">
        <f>questionnaire!E722</f>
        <v/>
      </c>
      <c r="F722" s="9">
        <f>8-questionnaire!F722</f>
        <v>8</v>
      </c>
      <c r="G722" s="9">
        <f>8-questionnaire!G722</f>
        <v>8</v>
      </c>
      <c r="H722" s="9">
        <f>8-questionnaire!H722</f>
        <v>8</v>
      </c>
      <c r="I722" s="9">
        <f>C722*10+D722*5+E722*1.66-(questionnaire!F722*1.66+questionnaire!G722*5+questionnaire!H722*10)</f>
        <v>0</v>
      </c>
    </row>
    <row r="723">
      <c r="A723" s="8" t="str">
        <f>questionnaire!A723</f>
        <v/>
      </c>
      <c r="B723" s="9" t="str">
        <f>questionnaire!B723</f>
        <v/>
      </c>
      <c r="C723" s="9" t="str">
        <f>questionnaire!C723</f>
        <v/>
      </c>
      <c r="D723" s="9" t="str">
        <f>questionnaire!D723</f>
        <v/>
      </c>
      <c r="E723" s="9" t="str">
        <f>questionnaire!E723</f>
        <v/>
      </c>
      <c r="F723" s="9">
        <f>8-questionnaire!F723</f>
        <v>8</v>
      </c>
      <c r="G723" s="9">
        <f>8-questionnaire!G723</f>
        <v>8</v>
      </c>
      <c r="H723" s="9">
        <f>8-questionnaire!H723</f>
        <v>8</v>
      </c>
      <c r="I723" s="9">
        <f>C723*10+D723*5+E723*1.66-(questionnaire!F723*1.66+questionnaire!G723*5+questionnaire!H723*10)</f>
        <v>0</v>
      </c>
    </row>
    <row r="724">
      <c r="A724" s="8" t="str">
        <f>questionnaire!A724</f>
        <v/>
      </c>
      <c r="B724" s="9" t="str">
        <f>questionnaire!B724</f>
        <v/>
      </c>
      <c r="C724" s="9" t="str">
        <f>questionnaire!C724</f>
        <v/>
      </c>
      <c r="D724" s="9" t="str">
        <f>questionnaire!D724</f>
        <v/>
      </c>
      <c r="E724" s="9" t="str">
        <f>questionnaire!E724</f>
        <v/>
      </c>
      <c r="F724" s="9">
        <f>8-questionnaire!F724</f>
        <v>8</v>
      </c>
      <c r="G724" s="9">
        <f>8-questionnaire!G724</f>
        <v>8</v>
      </c>
      <c r="H724" s="9">
        <f>8-questionnaire!H724</f>
        <v>8</v>
      </c>
      <c r="I724" s="9">
        <f>C724*10+D724*5+E724*1.66-(questionnaire!F724*1.66+questionnaire!G724*5+questionnaire!H724*10)</f>
        <v>0</v>
      </c>
    </row>
    <row r="725">
      <c r="A725" s="8" t="str">
        <f>questionnaire!A725</f>
        <v/>
      </c>
      <c r="B725" s="9" t="str">
        <f>questionnaire!B725</f>
        <v/>
      </c>
      <c r="C725" s="9" t="str">
        <f>questionnaire!C725</f>
        <v/>
      </c>
      <c r="D725" s="9" t="str">
        <f>questionnaire!D725</f>
        <v/>
      </c>
      <c r="E725" s="9" t="str">
        <f>questionnaire!E725</f>
        <v/>
      </c>
      <c r="F725" s="9">
        <f>8-questionnaire!F725</f>
        <v>8</v>
      </c>
      <c r="G725" s="9">
        <f>8-questionnaire!G725</f>
        <v>8</v>
      </c>
      <c r="H725" s="9">
        <f>8-questionnaire!H725</f>
        <v>8</v>
      </c>
      <c r="I725" s="9">
        <f>C725*10+D725*5+E725*1.66-(questionnaire!F725*1.66+questionnaire!G725*5+questionnaire!H725*10)</f>
        <v>0</v>
      </c>
    </row>
    <row r="726">
      <c r="A726" s="8" t="str">
        <f>questionnaire!A726</f>
        <v/>
      </c>
      <c r="B726" s="9" t="str">
        <f>questionnaire!B726</f>
        <v/>
      </c>
      <c r="C726" s="9" t="str">
        <f>questionnaire!C726</f>
        <v/>
      </c>
      <c r="D726" s="9" t="str">
        <f>questionnaire!D726</f>
        <v/>
      </c>
      <c r="E726" s="9" t="str">
        <f>questionnaire!E726</f>
        <v/>
      </c>
      <c r="F726" s="9">
        <f>8-questionnaire!F726</f>
        <v>8</v>
      </c>
      <c r="G726" s="9">
        <f>8-questionnaire!G726</f>
        <v>8</v>
      </c>
      <c r="H726" s="9">
        <f>8-questionnaire!H726</f>
        <v>8</v>
      </c>
      <c r="I726" s="9">
        <f>C726*10+D726*5+E726*1.66-(questionnaire!F726*1.66+questionnaire!G726*5+questionnaire!H726*10)</f>
        <v>0</v>
      </c>
    </row>
    <row r="727">
      <c r="A727" s="8" t="str">
        <f>questionnaire!A727</f>
        <v/>
      </c>
      <c r="B727" s="9" t="str">
        <f>questionnaire!B727</f>
        <v/>
      </c>
      <c r="C727" s="9" t="str">
        <f>questionnaire!C727</f>
        <v/>
      </c>
      <c r="D727" s="9" t="str">
        <f>questionnaire!D727</f>
        <v/>
      </c>
      <c r="E727" s="9" t="str">
        <f>questionnaire!E727</f>
        <v/>
      </c>
      <c r="F727" s="9">
        <f>8-questionnaire!F727</f>
        <v>8</v>
      </c>
      <c r="G727" s="9">
        <f>8-questionnaire!G727</f>
        <v>8</v>
      </c>
      <c r="H727" s="9">
        <f>8-questionnaire!H727</f>
        <v>8</v>
      </c>
      <c r="I727" s="9">
        <f>C727*10+D727*5+E727*1.66-(questionnaire!F727*1.66+questionnaire!G727*5+questionnaire!H727*10)</f>
        <v>0</v>
      </c>
    </row>
    <row r="728">
      <c r="A728" s="8" t="str">
        <f>questionnaire!A728</f>
        <v/>
      </c>
      <c r="B728" s="9" t="str">
        <f>questionnaire!B728</f>
        <v/>
      </c>
      <c r="C728" s="9" t="str">
        <f>questionnaire!C728</f>
        <v/>
      </c>
      <c r="D728" s="9" t="str">
        <f>questionnaire!D728</f>
        <v/>
      </c>
      <c r="E728" s="9" t="str">
        <f>questionnaire!E728</f>
        <v/>
      </c>
      <c r="F728" s="9">
        <f>8-questionnaire!F728</f>
        <v>8</v>
      </c>
      <c r="G728" s="9">
        <f>8-questionnaire!G728</f>
        <v>8</v>
      </c>
      <c r="H728" s="9">
        <f>8-questionnaire!H728</f>
        <v>8</v>
      </c>
      <c r="I728" s="9">
        <f>C728*10+D728*5+E728*1.66-(questionnaire!F728*1.66+questionnaire!G728*5+questionnaire!H728*10)</f>
        <v>0</v>
      </c>
    </row>
    <row r="729">
      <c r="A729" s="8" t="str">
        <f>questionnaire!A729</f>
        <v/>
      </c>
      <c r="B729" s="9" t="str">
        <f>questionnaire!B729</f>
        <v/>
      </c>
      <c r="C729" s="9" t="str">
        <f>questionnaire!C729</f>
        <v/>
      </c>
      <c r="D729" s="9" t="str">
        <f>questionnaire!D729</f>
        <v/>
      </c>
      <c r="E729" s="9" t="str">
        <f>questionnaire!E729</f>
        <v/>
      </c>
      <c r="F729" s="9">
        <f>8-questionnaire!F729</f>
        <v>8</v>
      </c>
      <c r="G729" s="9">
        <f>8-questionnaire!G729</f>
        <v>8</v>
      </c>
      <c r="H729" s="9">
        <f>8-questionnaire!H729</f>
        <v>8</v>
      </c>
      <c r="I729" s="9">
        <f>C729*10+D729*5+E729*1.66-(questionnaire!F729*1.66+questionnaire!G729*5+questionnaire!H729*10)</f>
        <v>0</v>
      </c>
    </row>
    <row r="730">
      <c r="A730" s="8" t="str">
        <f>questionnaire!A730</f>
        <v/>
      </c>
      <c r="B730" s="9" t="str">
        <f>questionnaire!B730</f>
        <v/>
      </c>
      <c r="C730" s="9" t="str">
        <f>questionnaire!C730</f>
        <v/>
      </c>
      <c r="D730" s="9" t="str">
        <f>questionnaire!D730</f>
        <v/>
      </c>
      <c r="E730" s="9" t="str">
        <f>questionnaire!E730</f>
        <v/>
      </c>
      <c r="F730" s="9">
        <f>8-questionnaire!F730</f>
        <v>8</v>
      </c>
      <c r="G730" s="9">
        <f>8-questionnaire!G730</f>
        <v>8</v>
      </c>
      <c r="H730" s="9">
        <f>8-questionnaire!H730</f>
        <v>8</v>
      </c>
      <c r="I730" s="9">
        <f>C730*10+D730*5+E730*1.66-(questionnaire!F730*1.66+questionnaire!G730*5+questionnaire!H730*10)</f>
        <v>0</v>
      </c>
    </row>
    <row r="731">
      <c r="A731" s="8" t="str">
        <f>questionnaire!A731</f>
        <v/>
      </c>
      <c r="B731" s="9" t="str">
        <f>questionnaire!B731</f>
        <v/>
      </c>
      <c r="C731" s="9" t="str">
        <f>questionnaire!C731</f>
        <v/>
      </c>
      <c r="D731" s="9" t="str">
        <f>questionnaire!D731</f>
        <v/>
      </c>
      <c r="E731" s="9" t="str">
        <f>questionnaire!E731</f>
        <v/>
      </c>
      <c r="F731" s="9">
        <f>8-questionnaire!F731</f>
        <v>8</v>
      </c>
      <c r="G731" s="9">
        <f>8-questionnaire!G731</f>
        <v>8</v>
      </c>
      <c r="H731" s="9">
        <f>8-questionnaire!H731</f>
        <v>8</v>
      </c>
      <c r="I731" s="9">
        <f>C731*10+D731*5+E731*1.66-(questionnaire!F731*1.66+questionnaire!G731*5+questionnaire!H731*10)</f>
        <v>0</v>
      </c>
    </row>
    <row r="732">
      <c r="A732" s="8" t="str">
        <f>questionnaire!A732</f>
        <v/>
      </c>
      <c r="B732" s="9" t="str">
        <f>questionnaire!B732</f>
        <v/>
      </c>
      <c r="C732" s="9" t="str">
        <f>questionnaire!C732</f>
        <v/>
      </c>
      <c r="D732" s="9" t="str">
        <f>questionnaire!D732</f>
        <v/>
      </c>
      <c r="E732" s="9" t="str">
        <f>questionnaire!E732</f>
        <v/>
      </c>
      <c r="F732" s="9">
        <f>8-questionnaire!F732</f>
        <v>8</v>
      </c>
      <c r="G732" s="9">
        <f>8-questionnaire!G732</f>
        <v>8</v>
      </c>
      <c r="H732" s="9">
        <f>8-questionnaire!H732</f>
        <v>8</v>
      </c>
      <c r="I732" s="9">
        <f>C732*10+D732*5+E732*1.66-(questionnaire!F732*1.66+questionnaire!G732*5+questionnaire!H732*10)</f>
        <v>0</v>
      </c>
    </row>
    <row r="733">
      <c r="A733" s="8" t="str">
        <f>questionnaire!A733</f>
        <v/>
      </c>
      <c r="B733" s="9" t="str">
        <f>questionnaire!B733</f>
        <v/>
      </c>
      <c r="C733" s="9" t="str">
        <f>questionnaire!C733</f>
        <v/>
      </c>
      <c r="D733" s="9" t="str">
        <f>questionnaire!D733</f>
        <v/>
      </c>
      <c r="E733" s="9" t="str">
        <f>questionnaire!E733</f>
        <v/>
      </c>
      <c r="F733" s="9">
        <f>8-questionnaire!F733</f>
        <v>8</v>
      </c>
      <c r="G733" s="9">
        <f>8-questionnaire!G733</f>
        <v>8</v>
      </c>
      <c r="H733" s="9">
        <f>8-questionnaire!H733</f>
        <v>8</v>
      </c>
      <c r="I733" s="9">
        <f>C733*10+D733*5+E733*1.66-(questionnaire!F733*1.66+questionnaire!G733*5+questionnaire!H733*10)</f>
        <v>0</v>
      </c>
    </row>
    <row r="734">
      <c r="A734" s="8" t="str">
        <f>questionnaire!A734</f>
        <v/>
      </c>
      <c r="B734" s="9" t="str">
        <f>questionnaire!B734</f>
        <v/>
      </c>
      <c r="C734" s="9" t="str">
        <f>questionnaire!C734</f>
        <v/>
      </c>
      <c r="D734" s="9" t="str">
        <f>questionnaire!D734</f>
        <v/>
      </c>
      <c r="E734" s="9" t="str">
        <f>questionnaire!E734</f>
        <v/>
      </c>
      <c r="F734" s="9">
        <f>8-questionnaire!F734</f>
        <v>8</v>
      </c>
      <c r="G734" s="9">
        <f>8-questionnaire!G734</f>
        <v>8</v>
      </c>
      <c r="H734" s="9">
        <f>8-questionnaire!H734</f>
        <v>8</v>
      </c>
      <c r="I734" s="9">
        <f>C734*10+D734*5+E734*1.66-(questionnaire!F734*1.66+questionnaire!G734*5+questionnaire!H734*10)</f>
        <v>0</v>
      </c>
    </row>
    <row r="735">
      <c r="A735" s="8" t="str">
        <f>questionnaire!A735</f>
        <v/>
      </c>
      <c r="B735" s="9" t="str">
        <f>questionnaire!B735</f>
        <v/>
      </c>
      <c r="C735" s="9" t="str">
        <f>questionnaire!C735</f>
        <v/>
      </c>
      <c r="D735" s="9" t="str">
        <f>questionnaire!D735</f>
        <v/>
      </c>
      <c r="E735" s="9" t="str">
        <f>questionnaire!E735</f>
        <v/>
      </c>
      <c r="F735" s="9">
        <f>8-questionnaire!F735</f>
        <v>8</v>
      </c>
      <c r="G735" s="9">
        <f>8-questionnaire!G735</f>
        <v>8</v>
      </c>
      <c r="H735" s="9">
        <f>8-questionnaire!H735</f>
        <v>8</v>
      </c>
      <c r="I735" s="9">
        <f>C735*10+D735*5+E735*1.66-(questionnaire!F735*1.66+questionnaire!G735*5+questionnaire!H735*10)</f>
        <v>0</v>
      </c>
    </row>
    <row r="736">
      <c r="A736" s="8" t="str">
        <f>questionnaire!A736</f>
        <v/>
      </c>
      <c r="B736" s="9" t="str">
        <f>questionnaire!B736</f>
        <v/>
      </c>
      <c r="C736" s="9" t="str">
        <f>questionnaire!C736</f>
        <v/>
      </c>
      <c r="D736" s="9" t="str">
        <f>questionnaire!D736</f>
        <v/>
      </c>
      <c r="E736" s="9" t="str">
        <f>questionnaire!E736</f>
        <v/>
      </c>
      <c r="F736" s="9">
        <f>8-questionnaire!F736</f>
        <v>8</v>
      </c>
      <c r="G736" s="9">
        <f>8-questionnaire!G736</f>
        <v>8</v>
      </c>
      <c r="H736" s="9">
        <f>8-questionnaire!H736</f>
        <v>8</v>
      </c>
      <c r="I736" s="9">
        <f>C736*10+D736*5+E736*1.66-(questionnaire!F736*1.66+questionnaire!G736*5+questionnaire!H736*10)</f>
        <v>0</v>
      </c>
    </row>
    <row r="737">
      <c r="A737" s="8" t="str">
        <f>questionnaire!A737</f>
        <v/>
      </c>
      <c r="B737" s="9" t="str">
        <f>questionnaire!B737</f>
        <v/>
      </c>
      <c r="C737" s="9" t="str">
        <f>questionnaire!C737</f>
        <v/>
      </c>
      <c r="D737" s="9" t="str">
        <f>questionnaire!D737</f>
        <v/>
      </c>
      <c r="E737" s="9" t="str">
        <f>questionnaire!E737</f>
        <v/>
      </c>
      <c r="F737" s="9">
        <f>8-questionnaire!F737</f>
        <v>8</v>
      </c>
      <c r="G737" s="9">
        <f>8-questionnaire!G737</f>
        <v>8</v>
      </c>
      <c r="H737" s="9">
        <f>8-questionnaire!H737</f>
        <v>8</v>
      </c>
      <c r="I737" s="9">
        <f>C737*10+D737*5+E737*1.66-(questionnaire!F737*1.66+questionnaire!G737*5+questionnaire!H737*10)</f>
        <v>0</v>
      </c>
    </row>
    <row r="738">
      <c r="A738" s="8" t="str">
        <f>questionnaire!A738</f>
        <v/>
      </c>
      <c r="B738" s="9" t="str">
        <f>questionnaire!B738</f>
        <v/>
      </c>
      <c r="C738" s="9" t="str">
        <f>questionnaire!C738</f>
        <v/>
      </c>
      <c r="D738" s="9" t="str">
        <f>questionnaire!D738</f>
        <v/>
      </c>
      <c r="E738" s="9" t="str">
        <f>questionnaire!E738</f>
        <v/>
      </c>
      <c r="F738" s="9">
        <f>8-questionnaire!F738</f>
        <v>8</v>
      </c>
      <c r="G738" s="9">
        <f>8-questionnaire!G738</f>
        <v>8</v>
      </c>
      <c r="H738" s="9">
        <f>8-questionnaire!H738</f>
        <v>8</v>
      </c>
      <c r="I738" s="9">
        <f>C738*10+D738*5+E738*1.66-(questionnaire!F738*1.66+questionnaire!G738*5+questionnaire!H738*10)</f>
        <v>0</v>
      </c>
    </row>
    <row r="739">
      <c r="A739" s="8" t="str">
        <f>questionnaire!A739</f>
        <v/>
      </c>
      <c r="B739" s="9" t="str">
        <f>questionnaire!B739</f>
        <v/>
      </c>
      <c r="C739" s="9" t="str">
        <f>questionnaire!C739</f>
        <v/>
      </c>
      <c r="D739" s="9" t="str">
        <f>questionnaire!D739</f>
        <v/>
      </c>
      <c r="E739" s="9" t="str">
        <f>questionnaire!E739</f>
        <v/>
      </c>
      <c r="F739" s="9">
        <f>8-questionnaire!F739</f>
        <v>8</v>
      </c>
      <c r="G739" s="9">
        <f>8-questionnaire!G739</f>
        <v>8</v>
      </c>
      <c r="H739" s="9">
        <f>8-questionnaire!H739</f>
        <v>8</v>
      </c>
      <c r="I739" s="9">
        <f>C739*10+D739*5+E739*1.66-(questionnaire!F739*1.66+questionnaire!G739*5+questionnaire!H739*10)</f>
        <v>0</v>
      </c>
    </row>
    <row r="740">
      <c r="A740" s="8" t="str">
        <f>questionnaire!A740</f>
        <v/>
      </c>
      <c r="B740" s="9" t="str">
        <f>questionnaire!B740</f>
        <v/>
      </c>
      <c r="C740" s="9" t="str">
        <f>questionnaire!C740</f>
        <v/>
      </c>
      <c r="D740" s="9" t="str">
        <f>questionnaire!D740</f>
        <v/>
      </c>
      <c r="E740" s="9" t="str">
        <f>questionnaire!E740</f>
        <v/>
      </c>
      <c r="F740" s="9">
        <f>8-questionnaire!F740</f>
        <v>8</v>
      </c>
      <c r="G740" s="9">
        <f>8-questionnaire!G740</f>
        <v>8</v>
      </c>
      <c r="H740" s="9">
        <f>8-questionnaire!H740</f>
        <v>8</v>
      </c>
      <c r="I740" s="9">
        <f>C740*10+D740*5+E740*1.66-(questionnaire!F740*1.66+questionnaire!G740*5+questionnaire!H740*10)</f>
        <v>0</v>
      </c>
    </row>
    <row r="741">
      <c r="A741" s="8" t="str">
        <f>questionnaire!A741</f>
        <v/>
      </c>
      <c r="B741" s="9" t="str">
        <f>questionnaire!B741</f>
        <v/>
      </c>
      <c r="C741" s="9" t="str">
        <f>questionnaire!C741</f>
        <v/>
      </c>
      <c r="D741" s="9" t="str">
        <f>questionnaire!D741</f>
        <v/>
      </c>
      <c r="E741" s="9" t="str">
        <f>questionnaire!E741</f>
        <v/>
      </c>
      <c r="F741" s="9">
        <f>8-questionnaire!F741</f>
        <v>8</v>
      </c>
      <c r="G741" s="9">
        <f>8-questionnaire!G741</f>
        <v>8</v>
      </c>
      <c r="H741" s="9">
        <f>8-questionnaire!H741</f>
        <v>8</v>
      </c>
      <c r="I741" s="9">
        <f>C741*10+D741*5+E741*1.66-(questionnaire!F741*1.66+questionnaire!G741*5+questionnaire!H741*10)</f>
        <v>0</v>
      </c>
    </row>
    <row r="742">
      <c r="A742" s="8" t="str">
        <f>questionnaire!A742</f>
        <v/>
      </c>
      <c r="B742" s="9" t="str">
        <f>questionnaire!B742</f>
        <v/>
      </c>
      <c r="C742" s="9" t="str">
        <f>questionnaire!C742</f>
        <v/>
      </c>
      <c r="D742" s="9" t="str">
        <f>questionnaire!D742</f>
        <v/>
      </c>
      <c r="E742" s="9" t="str">
        <f>questionnaire!E742</f>
        <v/>
      </c>
      <c r="F742" s="9">
        <f>8-questionnaire!F742</f>
        <v>8</v>
      </c>
      <c r="G742" s="9">
        <f>8-questionnaire!G742</f>
        <v>8</v>
      </c>
      <c r="H742" s="9">
        <f>8-questionnaire!H742</f>
        <v>8</v>
      </c>
      <c r="I742" s="9">
        <f>C742*10+D742*5+E742*1.66-(questionnaire!F742*1.66+questionnaire!G742*5+questionnaire!H742*10)</f>
        <v>0</v>
      </c>
    </row>
    <row r="743">
      <c r="A743" s="8" t="str">
        <f>questionnaire!A743</f>
        <v/>
      </c>
      <c r="B743" s="9" t="str">
        <f>questionnaire!B743</f>
        <v/>
      </c>
      <c r="C743" s="9" t="str">
        <f>questionnaire!C743</f>
        <v/>
      </c>
      <c r="D743" s="9" t="str">
        <f>questionnaire!D743</f>
        <v/>
      </c>
      <c r="E743" s="9" t="str">
        <f>questionnaire!E743</f>
        <v/>
      </c>
      <c r="F743" s="9">
        <f>8-questionnaire!F743</f>
        <v>8</v>
      </c>
      <c r="G743" s="9">
        <f>8-questionnaire!G743</f>
        <v>8</v>
      </c>
      <c r="H743" s="9">
        <f>8-questionnaire!H743</f>
        <v>8</v>
      </c>
      <c r="I743" s="9">
        <f>C743*10+D743*5+E743*1.66-(questionnaire!F743*1.66+questionnaire!G743*5+questionnaire!H743*10)</f>
        <v>0</v>
      </c>
    </row>
    <row r="744">
      <c r="A744" s="8" t="str">
        <f>questionnaire!A744</f>
        <v/>
      </c>
      <c r="B744" s="9" t="str">
        <f>questionnaire!B744</f>
        <v/>
      </c>
      <c r="C744" s="9" t="str">
        <f>questionnaire!C744</f>
        <v/>
      </c>
      <c r="D744" s="9" t="str">
        <f>questionnaire!D744</f>
        <v/>
      </c>
      <c r="E744" s="9" t="str">
        <f>questionnaire!E744</f>
        <v/>
      </c>
      <c r="F744" s="9">
        <f>8-questionnaire!F744</f>
        <v>8</v>
      </c>
      <c r="G744" s="9">
        <f>8-questionnaire!G744</f>
        <v>8</v>
      </c>
      <c r="H744" s="9">
        <f>8-questionnaire!H744</f>
        <v>8</v>
      </c>
      <c r="I744" s="9">
        <f>C744*10+D744*5+E744*1.66-(questionnaire!F744*1.66+questionnaire!G744*5+questionnaire!H744*10)</f>
        <v>0</v>
      </c>
    </row>
    <row r="745">
      <c r="A745" s="8" t="str">
        <f>questionnaire!A745</f>
        <v/>
      </c>
      <c r="B745" s="9" t="str">
        <f>questionnaire!B745</f>
        <v/>
      </c>
      <c r="C745" s="9" t="str">
        <f>questionnaire!C745</f>
        <v/>
      </c>
      <c r="D745" s="9" t="str">
        <f>questionnaire!D745</f>
        <v/>
      </c>
      <c r="E745" s="9" t="str">
        <f>questionnaire!E745</f>
        <v/>
      </c>
      <c r="F745" s="9">
        <f>8-questionnaire!F745</f>
        <v>8</v>
      </c>
      <c r="G745" s="9">
        <f>8-questionnaire!G745</f>
        <v>8</v>
      </c>
      <c r="H745" s="9">
        <f>8-questionnaire!H745</f>
        <v>8</v>
      </c>
      <c r="I745" s="9">
        <f>C745*10+D745*5+E745*1.66-(questionnaire!F745*1.66+questionnaire!G745*5+questionnaire!H745*10)</f>
        <v>0</v>
      </c>
    </row>
    <row r="746">
      <c r="A746" s="8" t="str">
        <f>questionnaire!A746</f>
        <v/>
      </c>
      <c r="B746" s="9" t="str">
        <f>questionnaire!B746</f>
        <v/>
      </c>
      <c r="C746" s="9" t="str">
        <f>questionnaire!C746</f>
        <v/>
      </c>
      <c r="D746" s="9" t="str">
        <f>questionnaire!D746</f>
        <v/>
      </c>
      <c r="E746" s="9" t="str">
        <f>questionnaire!E746</f>
        <v/>
      </c>
      <c r="F746" s="9">
        <f>8-questionnaire!F746</f>
        <v>8</v>
      </c>
      <c r="G746" s="9">
        <f>8-questionnaire!G746</f>
        <v>8</v>
      </c>
      <c r="H746" s="9">
        <f>8-questionnaire!H746</f>
        <v>8</v>
      </c>
      <c r="I746" s="9">
        <f>C746*10+D746*5+E746*1.66-(questionnaire!F746*1.66+questionnaire!G746*5+questionnaire!H746*10)</f>
        <v>0</v>
      </c>
    </row>
    <row r="747">
      <c r="A747" s="8" t="str">
        <f>questionnaire!A747</f>
        <v/>
      </c>
      <c r="B747" s="9" t="str">
        <f>questionnaire!B747</f>
        <v/>
      </c>
      <c r="C747" s="9" t="str">
        <f>questionnaire!C747</f>
        <v/>
      </c>
      <c r="D747" s="9" t="str">
        <f>questionnaire!D747</f>
        <v/>
      </c>
      <c r="E747" s="9" t="str">
        <f>questionnaire!E747</f>
        <v/>
      </c>
      <c r="F747" s="9">
        <f>8-questionnaire!F747</f>
        <v>8</v>
      </c>
      <c r="G747" s="9">
        <f>8-questionnaire!G747</f>
        <v>8</v>
      </c>
      <c r="H747" s="9">
        <f>8-questionnaire!H747</f>
        <v>8</v>
      </c>
      <c r="I747" s="9">
        <f>C747*10+D747*5+E747*1.66-(questionnaire!F747*1.66+questionnaire!G747*5+questionnaire!H747*10)</f>
        <v>0</v>
      </c>
    </row>
    <row r="748">
      <c r="A748" s="8" t="str">
        <f>questionnaire!A748</f>
        <v/>
      </c>
      <c r="B748" s="9" t="str">
        <f>questionnaire!B748</f>
        <v/>
      </c>
      <c r="C748" s="9" t="str">
        <f>questionnaire!C748</f>
        <v/>
      </c>
      <c r="D748" s="9" t="str">
        <f>questionnaire!D748</f>
        <v/>
      </c>
      <c r="E748" s="9" t="str">
        <f>questionnaire!E748</f>
        <v/>
      </c>
      <c r="F748" s="9">
        <f>8-questionnaire!F748</f>
        <v>8</v>
      </c>
      <c r="G748" s="9">
        <f>8-questionnaire!G748</f>
        <v>8</v>
      </c>
      <c r="H748" s="9">
        <f>8-questionnaire!H748</f>
        <v>8</v>
      </c>
      <c r="I748" s="9">
        <f>C748*10+D748*5+E748*1.66-(questionnaire!F748*1.66+questionnaire!G748*5+questionnaire!H748*10)</f>
        <v>0</v>
      </c>
    </row>
    <row r="749">
      <c r="A749" s="8" t="str">
        <f>questionnaire!A749</f>
        <v/>
      </c>
      <c r="B749" s="9" t="str">
        <f>questionnaire!B749</f>
        <v/>
      </c>
      <c r="C749" s="9" t="str">
        <f>questionnaire!C749</f>
        <v/>
      </c>
      <c r="D749" s="9" t="str">
        <f>questionnaire!D749</f>
        <v/>
      </c>
      <c r="E749" s="9" t="str">
        <f>questionnaire!E749</f>
        <v/>
      </c>
      <c r="F749" s="9">
        <f>8-questionnaire!F749</f>
        <v>8</v>
      </c>
      <c r="G749" s="9">
        <f>8-questionnaire!G749</f>
        <v>8</v>
      </c>
      <c r="H749" s="9">
        <f>8-questionnaire!H749</f>
        <v>8</v>
      </c>
      <c r="I749" s="9">
        <f>C749*10+D749*5+E749*1.66-(questionnaire!F749*1.66+questionnaire!G749*5+questionnaire!H749*10)</f>
        <v>0</v>
      </c>
    </row>
    <row r="750">
      <c r="A750" s="8" t="str">
        <f>questionnaire!A750</f>
        <v/>
      </c>
      <c r="B750" s="9" t="str">
        <f>questionnaire!B750</f>
        <v/>
      </c>
      <c r="C750" s="9" t="str">
        <f>questionnaire!C750</f>
        <v/>
      </c>
      <c r="D750" s="9" t="str">
        <f>questionnaire!D750</f>
        <v/>
      </c>
      <c r="E750" s="9" t="str">
        <f>questionnaire!E750</f>
        <v/>
      </c>
      <c r="F750" s="9">
        <f>8-questionnaire!F750</f>
        <v>8</v>
      </c>
      <c r="G750" s="9">
        <f>8-questionnaire!G750</f>
        <v>8</v>
      </c>
      <c r="H750" s="9">
        <f>8-questionnaire!H750</f>
        <v>8</v>
      </c>
      <c r="I750" s="9">
        <f>C750*10+D750*5+E750*1.66-(questionnaire!F750*1.66+questionnaire!G750*5+questionnaire!H750*10)</f>
        <v>0</v>
      </c>
    </row>
    <row r="751">
      <c r="A751" s="8" t="str">
        <f>questionnaire!A751</f>
        <v/>
      </c>
      <c r="B751" s="9" t="str">
        <f>questionnaire!B751</f>
        <v/>
      </c>
      <c r="C751" s="9" t="str">
        <f>questionnaire!C751</f>
        <v/>
      </c>
      <c r="D751" s="9" t="str">
        <f>questionnaire!D751</f>
        <v/>
      </c>
      <c r="E751" s="9" t="str">
        <f>questionnaire!E751</f>
        <v/>
      </c>
      <c r="F751" s="9">
        <f>8-questionnaire!F751</f>
        <v>8</v>
      </c>
      <c r="G751" s="9">
        <f>8-questionnaire!G751</f>
        <v>8</v>
      </c>
      <c r="H751" s="9">
        <f>8-questionnaire!H751</f>
        <v>8</v>
      </c>
      <c r="I751" s="9">
        <f>C751*10+D751*5+E751*1.66-(questionnaire!F751*1.66+questionnaire!G751*5+questionnaire!H751*10)</f>
        <v>0</v>
      </c>
    </row>
    <row r="752">
      <c r="A752" s="8" t="str">
        <f>questionnaire!A752</f>
        <v/>
      </c>
      <c r="B752" s="9" t="str">
        <f>questionnaire!B752</f>
        <v/>
      </c>
      <c r="C752" s="9" t="str">
        <f>questionnaire!C752</f>
        <v/>
      </c>
      <c r="D752" s="9" t="str">
        <f>questionnaire!D752</f>
        <v/>
      </c>
      <c r="E752" s="9" t="str">
        <f>questionnaire!E752</f>
        <v/>
      </c>
      <c r="F752" s="9">
        <f>8-questionnaire!F752</f>
        <v>8</v>
      </c>
      <c r="G752" s="9">
        <f>8-questionnaire!G752</f>
        <v>8</v>
      </c>
      <c r="H752" s="9">
        <f>8-questionnaire!H752</f>
        <v>8</v>
      </c>
      <c r="I752" s="9">
        <f>C752*10+D752*5+E752*1.66-(questionnaire!F752*1.66+questionnaire!G752*5+questionnaire!H752*10)</f>
        <v>0</v>
      </c>
    </row>
    <row r="753">
      <c r="A753" s="8" t="str">
        <f>questionnaire!A753</f>
        <v/>
      </c>
      <c r="B753" s="9" t="str">
        <f>questionnaire!B753</f>
        <v/>
      </c>
      <c r="C753" s="9" t="str">
        <f>questionnaire!C753</f>
        <v/>
      </c>
      <c r="D753" s="9" t="str">
        <f>questionnaire!D753</f>
        <v/>
      </c>
      <c r="E753" s="9" t="str">
        <f>questionnaire!E753</f>
        <v/>
      </c>
      <c r="F753" s="9">
        <f>8-questionnaire!F753</f>
        <v>8</v>
      </c>
      <c r="G753" s="9">
        <f>8-questionnaire!G753</f>
        <v>8</v>
      </c>
      <c r="H753" s="9">
        <f>8-questionnaire!H753</f>
        <v>8</v>
      </c>
      <c r="I753" s="9">
        <f>C753*10+D753*5+E753*1.66-(questionnaire!F753*1.66+questionnaire!G753*5+questionnaire!H753*10)</f>
        <v>0</v>
      </c>
    </row>
    <row r="754">
      <c r="A754" s="8" t="str">
        <f>questionnaire!A754</f>
        <v/>
      </c>
      <c r="B754" s="9" t="str">
        <f>questionnaire!B754</f>
        <v/>
      </c>
      <c r="C754" s="9" t="str">
        <f>questionnaire!C754</f>
        <v/>
      </c>
      <c r="D754" s="9" t="str">
        <f>questionnaire!D754</f>
        <v/>
      </c>
      <c r="E754" s="9" t="str">
        <f>questionnaire!E754</f>
        <v/>
      </c>
      <c r="F754" s="9">
        <f>8-questionnaire!F754</f>
        <v>8</v>
      </c>
      <c r="G754" s="9">
        <f>8-questionnaire!G754</f>
        <v>8</v>
      </c>
      <c r="H754" s="9">
        <f>8-questionnaire!H754</f>
        <v>8</v>
      </c>
      <c r="I754" s="9">
        <f>C754*10+D754*5+E754*1.66-(questionnaire!F754*1.66+questionnaire!G754*5+questionnaire!H754*10)</f>
        <v>0</v>
      </c>
    </row>
    <row r="755">
      <c r="A755" s="8" t="str">
        <f>questionnaire!A755</f>
        <v/>
      </c>
      <c r="B755" s="9" t="str">
        <f>questionnaire!B755</f>
        <v/>
      </c>
      <c r="C755" s="9" t="str">
        <f>questionnaire!C755</f>
        <v/>
      </c>
      <c r="D755" s="9" t="str">
        <f>questionnaire!D755</f>
        <v/>
      </c>
      <c r="E755" s="9" t="str">
        <f>questionnaire!E755</f>
        <v/>
      </c>
      <c r="F755" s="9">
        <f>8-questionnaire!F755</f>
        <v>8</v>
      </c>
      <c r="G755" s="9">
        <f>8-questionnaire!G755</f>
        <v>8</v>
      </c>
      <c r="H755" s="9">
        <f>8-questionnaire!H755</f>
        <v>8</v>
      </c>
      <c r="I755" s="9">
        <f>C755*10+D755*5+E755*1.66-(questionnaire!F755*1.66+questionnaire!G755*5+questionnaire!H755*10)</f>
        <v>0</v>
      </c>
    </row>
    <row r="756">
      <c r="A756" s="8" t="str">
        <f>questionnaire!A756</f>
        <v/>
      </c>
      <c r="B756" s="9" t="str">
        <f>questionnaire!B756</f>
        <v/>
      </c>
      <c r="C756" s="9" t="str">
        <f>questionnaire!C756</f>
        <v/>
      </c>
      <c r="D756" s="9" t="str">
        <f>questionnaire!D756</f>
        <v/>
      </c>
      <c r="E756" s="9" t="str">
        <f>questionnaire!E756</f>
        <v/>
      </c>
      <c r="F756" s="9">
        <f>8-questionnaire!F756</f>
        <v>8</v>
      </c>
      <c r="G756" s="9">
        <f>8-questionnaire!G756</f>
        <v>8</v>
      </c>
      <c r="H756" s="9">
        <f>8-questionnaire!H756</f>
        <v>8</v>
      </c>
      <c r="I756" s="9">
        <f>C756*10+D756*5+E756*1.66-(questionnaire!F756*1.66+questionnaire!G756*5+questionnaire!H756*10)</f>
        <v>0</v>
      </c>
    </row>
    <row r="757">
      <c r="A757" s="8" t="str">
        <f>questionnaire!A757</f>
        <v/>
      </c>
      <c r="B757" s="9" t="str">
        <f>questionnaire!B757</f>
        <v/>
      </c>
      <c r="C757" s="9" t="str">
        <f>questionnaire!C757</f>
        <v/>
      </c>
      <c r="D757" s="9" t="str">
        <f>questionnaire!D757</f>
        <v/>
      </c>
      <c r="E757" s="9" t="str">
        <f>questionnaire!E757</f>
        <v/>
      </c>
      <c r="F757" s="9">
        <f>8-questionnaire!F757</f>
        <v>8</v>
      </c>
      <c r="G757" s="9">
        <f>8-questionnaire!G757</f>
        <v>8</v>
      </c>
      <c r="H757" s="9">
        <f>8-questionnaire!H757</f>
        <v>8</v>
      </c>
      <c r="I757" s="9">
        <f>C757*10+D757*5+E757*1.66-(questionnaire!F757*1.66+questionnaire!G757*5+questionnaire!H757*10)</f>
        <v>0</v>
      </c>
    </row>
    <row r="758">
      <c r="A758" s="8" t="str">
        <f>questionnaire!A758</f>
        <v/>
      </c>
      <c r="B758" s="9" t="str">
        <f>questionnaire!B758</f>
        <v/>
      </c>
      <c r="C758" s="9" t="str">
        <f>questionnaire!C758</f>
        <v/>
      </c>
      <c r="D758" s="9" t="str">
        <f>questionnaire!D758</f>
        <v/>
      </c>
      <c r="E758" s="9" t="str">
        <f>questionnaire!E758</f>
        <v/>
      </c>
      <c r="F758" s="9">
        <f>8-questionnaire!F758</f>
        <v>8</v>
      </c>
      <c r="G758" s="9">
        <f>8-questionnaire!G758</f>
        <v>8</v>
      </c>
      <c r="H758" s="9">
        <f>8-questionnaire!H758</f>
        <v>8</v>
      </c>
      <c r="I758" s="9">
        <f>C758*10+D758*5+E758*1.66-(questionnaire!F758*1.66+questionnaire!G758*5+questionnaire!H758*10)</f>
        <v>0</v>
      </c>
    </row>
    <row r="759">
      <c r="A759" s="8" t="str">
        <f>questionnaire!A759</f>
        <v/>
      </c>
      <c r="B759" s="9" t="str">
        <f>questionnaire!B759</f>
        <v/>
      </c>
      <c r="C759" s="9" t="str">
        <f>questionnaire!C759</f>
        <v/>
      </c>
      <c r="D759" s="9" t="str">
        <f>questionnaire!D759</f>
        <v/>
      </c>
      <c r="E759" s="9" t="str">
        <f>questionnaire!E759</f>
        <v/>
      </c>
      <c r="F759" s="9">
        <f>8-questionnaire!F759</f>
        <v>8</v>
      </c>
      <c r="G759" s="9">
        <f>8-questionnaire!G759</f>
        <v>8</v>
      </c>
      <c r="H759" s="9">
        <f>8-questionnaire!H759</f>
        <v>8</v>
      </c>
      <c r="I759" s="9">
        <f>C759*10+D759*5+E759*1.66-(questionnaire!F759*1.66+questionnaire!G759*5+questionnaire!H759*10)</f>
        <v>0</v>
      </c>
    </row>
    <row r="760">
      <c r="A760" s="8" t="str">
        <f>questionnaire!A760</f>
        <v/>
      </c>
      <c r="B760" s="9" t="str">
        <f>questionnaire!B760</f>
        <v/>
      </c>
      <c r="C760" s="9" t="str">
        <f>questionnaire!C760</f>
        <v/>
      </c>
      <c r="D760" s="9" t="str">
        <f>questionnaire!D760</f>
        <v/>
      </c>
      <c r="E760" s="9" t="str">
        <f>questionnaire!E760</f>
        <v/>
      </c>
      <c r="F760" s="9">
        <f>8-questionnaire!F760</f>
        <v>8</v>
      </c>
      <c r="G760" s="9">
        <f>8-questionnaire!G760</f>
        <v>8</v>
      </c>
      <c r="H760" s="9">
        <f>8-questionnaire!H760</f>
        <v>8</v>
      </c>
      <c r="I760" s="9">
        <f>C760*10+D760*5+E760*1.66-(questionnaire!F760*1.66+questionnaire!G760*5+questionnaire!H760*10)</f>
        <v>0</v>
      </c>
    </row>
    <row r="761">
      <c r="A761" s="8" t="str">
        <f>questionnaire!A761</f>
        <v/>
      </c>
      <c r="B761" s="9" t="str">
        <f>questionnaire!B761</f>
        <v/>
      </c>
      <c r="C761" s="9" t="str">
        <f>questionnaire!C761</f>
        <v/>
      </c>
      <c r="D761" s="9" t="str">
        <f>questionnaire!D761</f>
        <v/>
      </c>
      <c r="E761" s="9" t="str">
        <f>questionnaire!E761</f>
        <v/>
      </c>
      <c r="F761" s="9">
        <f>8-questionnaire!F761</f>
        <v>8</v>
      </c>
      <c r="G761" s="9">
        <f>8-questionnaire!G761</f>
        <v>8</v>
      </c>
      <c r="H761" s="9">
        <f>8-questionnaire!H761</f>
        <v>8</v>
      </c>
      <c r="I761" s="9">
        <f>C761*10+D761*5+E761*1.66-(questionnaire!F761*1.66+questionnaire!G761*5+questionnaire!H761*10)</f>
        <v>0</v>
      </c>
    </row>
    <row r="762">
      <c r="A762" s="8" t="str">
        <f>questionnaire!A762</f>
        <v/>
      </c>
      <c r="B762" s="9" t="str">
        <f>questionnaire!B762</f>
        <v/>
      </c>
      <c r="C762" s="9" t="str">
        <f>questionnaire!C762</f>
        <v/>
      </c>
      <c r="D762" s="9" t="str">
        <f>questionnaire!D762</f>
        <v/>
      </c>
      <c r="E762" s="9" t="str">
        <f>questionnaire!E762</f>
        <v/>
      </c>
      <c r="F762" s="9">
        <f>8-questionnaire!F762</f>
        <v>8</v>
      </c>
      <c r="G762" s="9">
        <f>8-questionnaire!G762</f>
        <v>8</v>
      </c>
      <c r="H762" s="9">
        <f>8-questionnaire!H762</f>
        <v>8</v>
      </c>
      <c r="I762" s="9">
        <f>C762*10+D762*5+E762*1.66-(questionnaire!F762*1.66+questionnaire!G762*5+questionnaire!H762*10)</f>
        <v>0</v>
      </c>
    </row>
    <row r="763">
      <c r="A763" s="8" t="str">
        <f>questionnaire!A763</f>
        <v/>
      </c>
      <c r="B763" s="9" t="str">
        <f>questionnaire!B763</f>
        <v/>
      </c>
      <c r="C763" s="9" t="str">
        <f>questionnaire!C763</f>
        <v/>
      </c>
      <c r="D763" s="9" t="str">
        <f>questionnaire!D763</f>
        <v/>
      </c>
      <c r="E763" s="9" t="str">
        <f>questionnaire!E763</f>
        <v/>
      </c>
      <c r="F763" s="9">
        <f>8-questionnaire!F763</f>
        <v>8</v>
      </c>
      <c r="G763" s="9">
        <f>8-questionnaire!G763</f>
        <v>8</v>
      </c>
      <c r="H763" s="9">
        <f>8-questionnaire!H763</f>
        <v>8</v>
      </c>
      <c r="I763" s="9">
        <f>C763*10+D763*5+E763*1.66-(questionnaire!F763*1.66+questionnaire!G763*5+questionnaire!H763*10)</f>
        <v>0</v>
      </c>
    </row>
    <row r="764">
      <c r="A764" s="8" t="str">
        <f>questionnaire!A764</f>
        <v/>
      </c>
      <c r="B764" s="9" t="str">
        <f>questionnaire!B764</f>
        <v/>
      </c>
      <c r="C764" s="9" t="str">
        <f>questionnaire!C764</f>
        <v/>
      </c>
      <c r="D764" s="9" t="str">
        <f>questionnaire!D764</f>
        <v/>
      </c>
      <c r="E764" s="9" t="str">
        <f>questionnaire!E764</f>
        <v/>
      </c>
      <c r="F764" s="9">
        <f>8-questionnaire!F764</f>
        <v>8</v>
      </c>
      <c r="G764" s="9">
        <f>8-questionnaire!G764</f>
        <v>8</v>
      </c>
      <c r="H764" s="9">
        <f>8-questionnaire!H764</f>
        <v>8</v>
      </c>
      <c r="I764" s="9">
        <f>C764*10+D764*5+E764*1.66-(questionnaire!F764*1.66+questionnaire!G764*5+questionnaire!H764*10)</f>
        <v>0</v>
      </c>
    </row>
    <row r="765">
      <c r="A765" s="8" t="str">
        <f>questionnaire!A765</f>
        <v/>
      </c>
      <c r="B765" s="9" t="str">
        <f>questionnaire!B765</f>
        <v/>
      </c>
      <c r="C765" s="9" t="str">
        <f>questionnaire!C765</f>
        <v/>
      </c>
      <c r="D765" s="9" t="str">
        <f>questionnaire!D765</f>
        <v/>
      </c>
      <c r="E765" s="9" t="str">
        <f>questionnaire!E765</f>
        <v/>
      </c>
      <c r="F765" s="9">
        <f>8-questionnaire!F765</f>
        <v>8</v>
      </c>
      <c r="G765" s="9">
        <f>8-questionnaire!G765</f>
        <v>8</v>
      </c>
      <c r="H765" s="9">
        <f>8-questionnaire!H765</f>
        <v>8</v>
      </c>
      <c r="I765" s="9">
        <f>C765*10+D765*5+E765*1.66-(questionnaire!F765*1.66+questionnaire!G765*5+questionnaire!H765*10)</f>
        <v>0</v>
      </c>
    </row>
    <row r="766">
      <c r="A766" s="8" t="str">
        <f>questionnaire!A766</f>
        <v/>
      </c>
      <c r="B766" s="9" t="str">
        <f>questionnaire!B766</f>
        <v/>
      </c>
      <c r="C766" s="9" t="str">
        <f>questionnaire!C766</f>
        <v/>
      </c>
      <c r="D766" s="9" t="str">
        <f>questionnaire!D766</f>
        <v/>
      </c>
      <c r="E766" s="9" t="str">
        <f>questionnaire!E766</f>
        <v/>
      </c>
      <c r="F766" s="9">
        <f>8-questionnaire!F766</f>
        <v>8</v>
      </c>
      <c r="G766" s="9">
        <f>8-questionnaire!G766</f>
        <v>8</v>
      </c>
      <c r="H766" s="9">
        <f>8-questionnaire!H766</f>
        <v>8</v>
      </c>
      <c r="I766" s="9">
        <f>C766*10+D766*5+E766*1.66-(questionnaire!F766*1.66+questionnaire!G766*5+questionnaire!H766*10)</f>
        <v>0</v>
      </c>
    </row>
    <row r="767">
      <c r="A767" s="8" t="str">
        <f>questionnaire!A767</f>
        <v/>
      </c>
      <c r="B767" s="9" t="str">
        <f>questionnaire!B767</f>
        <v/>
      </c>
      <c r="C767" s="9" t="str">
        <f>questionnaire!C767</f>
        <v/>
      </c>
      <c r="D767" s="9" t="str">
        <f>questionnaire!D767</f>
        <v/>
      </c>
      <c r="E767" s="9" t="str">
        <f>questionnaire!E767</f>
        <v/>
      </c>
      <c r="F767" s="9">
        <f>8-questionnaire!F767</f>
        <v>8</v>
      </c>
      <c r="G767" s="9">
        <f>8-questionnaire!G767</f>
        <v>8</v>
      </c>
      <c r="H767" s="9">
        <f>8-questionnaire!H767</f>
        <v>8</v>
      </c>
      <c r="I767" s="9">
        <f>C767*10+D767*5+E767*1.66-(questionnaire!F767*1.66+questionnaire!G767*5+questionnaire!H767*10)</f>
        <v>0</v>
      </c>
    </row>
    <row r="768">
      <c r="A768" s="8" t="str">
        <f>questionnaire!A768</f>
        <v/>
      </c>
      <c r="B768" s="9" t="str">
        <f>questionnaire!B768</f>
        <v/>
      </c>
      <c r="C768" s="9" t="str">
        <f>questionnaire!C768</f>
        <v/>
      </c>
      <c r="D768" s="9" t="str">
        <f>questionnaire!D768</f>
        <v/>
      </c>
      <c r="E768" s="9" t="str">
        <f>questionnaire!E768</f>
        <v/>
      </c>
      <c r="F768" s="9">
        <f>8-questionnaire!F768</f>
        <v>8</v>
      </c>
      <c r="G768" s="9">
        <f>8-questionnaire!G768</f>
        <v>8</v>
      </c>
      <c r="H768" s="9">
        <f>8-questionnaire!H768</f>
        <v>8</v>
      </c>
      <c r="I768" s="9">
        <f>C768*10+D768*5+E768*1.66-(questionnaire!F768*1.66+questionnaire!G768*5+questionnaire!H768*10)</f>
        <v>0</v>
      </c>
    </row>
    <row r="769">
      <c r="A769" s="8" t="str">
        <f>questionnaire!A769</f>
        <v/>
      </c>
      <c r="B769" s="9" t="str">
        <f>questionnaire!B769</f>
        <v/>
      </c>
      <c r="C769" s="9" t="str">
        <f>questionnaire!C769</f>
        <v/>
      </c>
      <c r="D769" s="9" t="str">
        <f>questionnaire!D769</f>
        <v/>
      </c>
      <c r="E769" s="9" t="str">
        <f>questionnaire!E769</f>
        <v/>
      </c>
      <c r="F769" s="9">
        <f>8-questionnaire!F769</f>
        <v>8</v>
      </c>
      <c r="G769" s="9">
        <f>8-questionnaire!G769</f>
        <v>8</v>
      </c>
      <c r="H769" s="9">
        <f>8-questionnaire!H769</f>
        <v>8</v>
      </c>
      <c r="I769" s="9">
        <f>C769*10+D769*5+E769*1.66-(questionnaire!F769*1.66+questionnaire!G769*5+questionnaire!H769*10)</f>
        <v>0</v>
      </c>
    </row>
    <row r="770">
      <c r="A770" s="8" t="str">
        <f>questionnaire!A770</f>
        <v/>
      </c>
      <c r="B770" s="9" t="str">
        <f>questionnaire!B770</f>
        <v/>
      </c>
      <c r="C770" s="9" t="str">
        <f>questionnaire!C770</f>
        <v/>
      </c>
      <c r="D770" s="9" t="str">
        <f>questionnaire!D770</f>
        <v/>
      </c>
      <c r="E770" s="9" t="str">
        <f>questionnaire!E770</f>
        <v/>
      </c>
      <c r="F770" s="9">
        <f>8-questionnaire!F770</f>
        <v>8</v>
      </c>
      <c r="G770" s="9">
        <f>8-questionnaire!G770</f>
        <v>8</v>
      </c>
      <c r="H770" s="9">
        <f>8-questionnaire!H770</f>
        <v>8</v>
      </c>
      <c r="I770" s="9">
        <f>C770*10+D770*5+E770*1.66-(questionnaire!F770*1.66+questionnaire!G770*5+questionnaire!H770*10)</f>
        <v>0</v>
      </c>
    </row>
    <row r="771">
      <c r="A771" s="8" t="str">
        <f>questionnaire!A771</f>
        <v/>
      </c>
      <c r="B771" s="9" t="str">
        <f>questionnaire!B771</f>
        <v/>
      </c>
      <c r="C771" s="9" t="str">
        <f>questionnaire!C771</f>
        <v/>
      </c>
      <c r="D771" s="9" t="str">
        <f>questionnaire!D771</f>
        <v/>
      </c>
      <c r="E771" s="9" t="str">
        <f>questionnaire!E771</f>
        <v/>
      </c>
      <c r="F771" s="9">
        <f>8-questionnaire!F771</f>
        <v>8</v>
      </c>
      <c r="G771" s="9">
        <f>8-questionnaire!G771</f>
        <v>8</v>
      </c>
      <c r="H771" s="9">
        <f>8-questionnaire!H771</f>
        <v>8</v>
      </c>
      <c r="I771" s="9">
        <f>C771*10+D771*5+E771*1.66-(questionnaire!F771*1.66+questionnaire!G771*5+questionnaire!H771*10)</f>
        <v>0</v>
      </c>
    </row>
    <row r="772">
      <c r="A772" s="8" t="str">
        <f>questionnaire!A772</f>
        <v/>
      </c>
      <c r="B772" s="9" t="str">
        <f>questionnaire!B772</f>
        <v/>
      </c>
      <c r="C772" s="9" t="str">
        <f>questionnaire!C772</f>
        <v/>
      </c>
      <c r="D772" s="9" t="str">
        <f>questionnaire!D772</f>
        <v/>
      </c>
      <c r="E772" s="9" t="str">
        <f>questionnaire!E772</f>
        <v/>
      </c>
      <c r="F772" s="9">
        <f>8-questionnaire!F772</f>
        <v>8</v>
      </c>
      <c r="G772" s="9">
        <f>8-questionnaire!G772</f>
        <v>8</v>
      </c>
      <c r="H772" s="9">
        <f>8-questionnaire!H772</f>
        <v>8</v>
      </c>
      <c r="I772" s="9">
        <f>C772*10+D772*5+E772*1.66-(questionnaire!F772*1.66+questionnaire!G772*5+questionnaire!H772*10)</f>
        <v>0</v>
      </c>
    </row>
    <row r="773">
      <c r="A773" s="8" t="str">
        <f>questionnaire!A773</f>
        <v/>
      </c>
      <c r="B773" s="9" t="str">
        <f>questionnaire!B773</f>
        <v/>
      </c>
      <c r="C773" s="9" t="str">
        <f>questionnaire!C773</f>
        <v/>
      </c>
      <c r="D773" s="9" t="str">
        <f>questionnaire!D773</f>
        <v/>
      </c>
      <c r="E773" s="9" t="str">
        <f>questionnaire!E773</f>
        <v/>
      </c>
      <c r="F773" s="9">
        <f>8-questionnaire!F773</f>
        <v>8</v>
      </c>
      <c r="G773" s="9">
        <f>8-questionnaire!G773</f>
        <v>8</v>
      </c>
      <c r="H773" s="9">
        <f>8-questionnaire!H773</f>
        <v>8</v>
      </c>
      <c r="I773" s="9">
        <f>C773*10+D773*5+E773*1.66-(questionnaire!F773*1.66+questionnaire!G773*5+questionnaire!H773*10)</f>
        <v>0</v>
      </c>
    </row>
    <row r="774">
      <c r="A774" s="8" t="str">
        <f>questionnaire!A774</f>
        <v/>
      </c>
      <c r="B774" s="9" t="str">
        <f>questionnaire!B774</f>
        <v/>
      </c>
      <c r="C774" s="9" t="str">
        <f>questionnaire!C774</f>
        <v/>
      </c>
      <c r="D774" s="9" t="str">
        <f>questionnaire!D774</f>
        <v/>
      </c>
      <c r="E774" s="9" t="str">
        <f>questionnaire!E774</f>
        <v/>
      </c>
      <c r="F774" s="9">
        <f>8-questionnaire!F774</f>
        <v>8</v>
      </c>
      <c r="G774" s="9">
        <f>8-questionnaire!G774</f>
        <v>8</v>
      </c>
      <c r="H774" s="9">
        <f>8-questionnaire!H774</f>
        <v>8</v>
      </c>
      <c r="I774" s="9">
        <f>C774*10+D774*5+E774*1.66-(questionnaire!F774*1.66+questionnaire!G774*5+questionnaire!H774*10)</f>
        <v>0</v>
      </c>
    </row>
    <row r="775">
      <c r="A775" s="8" t="str">
        <f>questionnaire!A775</f>
        <v/>
      </c>
      <c r="B775" s="9" t="str">
        <f>questionnaire!B775</f>
        <v/>
      </c>
      <c r="C775" s="9" t="str">
        <f>questionnaire!C775</f>
        <v/>
      </c>
      <c r="D775" s="9" t="str">
        <f>questionnaire!D775</f>
        <v/>
      </c>
      <c r="E775" s="9" t="str">
        <f>questionnaire!E775</f>
        <v/>
      </c>
      <c r="F775" s="9">
        <f>8-questionnaire!F775</f>
        <v>8</v>
      </c>
      <c r="G775" s="9">
        <f>8-questionnaire!G775</f>
        <v>8</v>
      </c>
      <c r="H775" s="9">
        <f>8-questionnaire!H775</f>
        <v>8</v>
      </c>
      <c r="I775" s="9">
        <f>C775*10+D775*5+E775*1.66-(questionnaire!F775*1.66+questionnaire!G775*5+questionnaire!H775*10)</f>
        <v>0</v>
      </c>
    </row>
    <row r="776">
      <c r="A776" s="8" t="str">
        <f>questionnaire!A776</f>
        <v/>
      </c>
      <c r="B776" s="9" t="str">
        <f>questionnaire!B776</f>
        <v/>
      </c>
      <c r="C776" s="9" t="str">
        <f>questionnaire!C776</f>
        <v/>
      </c>
      <c r="D776" s="9" t="str">
        <f>questionnaire!D776</f>
        <v/>
      </c>
      <c r="E776" s="9" t="str">
        <f>questionnaire!E776</f>
        <v/>
      </c>
      <c r="F776" s="9">
        <f>8-questionnaire!F776</f>
        <v>8</v>
      </c>
      <c r="G776" s="9">
        <f>8-questionnaire!G776</f>
        <v>8</v>
      </c>
      <c r="H776" s="9">
        <f>8-questionnaire!H776</f>
        <v>8</v>
      </c>
      <c r="I776" s="9">
        <f>C776*10+D776*5+E776*1.66-(questionnaire!F776*1.66+questionnaire!G776*5+questionnaire!H776*10)</f>
        <v>0</v>
      </c>
    </row>
    <row r="777">
      <c r="A777" s="8" t="str">
        <f>questionnaire!A777</f>
        <v/>
      </c>
      <c r="B777" s="9" t="str">
        <f>questionnaire!B777</f>
        <v/>
      </c>
      <c r="C777" s="9" t="str">
        <f>questionnaire!C777</f>
        <v/>
      </c>
      <c r="D777" s="9" t="str">
        <f>questionnaire!D777</f>
        <v/>
      </c>
      <c r="E777" s="9" t="str">
        <f>questionnaire!E777</f>
        <v/>
      </c>
      <c r="F777" s="9">
        <f>8-questionnaire!F777</f>
        <v>8</v>
      </c>
      <c r="G777" s="9">
        <f>8-questionnaire!G777</f>
        <v>8</v>
      </c>
      <c r="H777" s="9">
        <f>8-questionnaire!H777</f>
        <v>8</v>
      </c>
      <c r="I777" s="9">
        <f>C777*10+D777*5+E777*1.66-(questionnaire!F777*1.66+questionnaire!G777*5+questionnaire!H777*10)</f>
        <v>0</v>
      </c>
    </row>
    <row r="778">
      <c r="A778" s="8" t="str">
        <f>questionnaire!A778</f>
        <v/>
      </c>
      <c r="B778" s="9" t="str">
        <f>questionnaire!B778</f>
        <v/>
      </c>
      <c r="C778" s="9" t="str">
        <f>questionnaire!C778</f>
        <v/>
      </c>
      <c r="D778" s="9" t="str">
        <f>questionnaire!D778</f>
        <v/>
      </c>
      <c r="E778" s="9" t="str">
        <f>questionnaire!E778</f>
        <v/>
      </c>
      <c r="F778" s="9">
        <f>8-questionnaire!F778</f>
        <v>8</v>
      </c>
      <c r="G778" s="9">
        <f>8-questionnaire!G778</f>
        <v>8</v>
      </c>
      <c r="H778" s="9">
        <f>8-questionnaire!H778</f>
        <v>8</v>
      </c>
      <c r="I778" s="9">
        <f>C778*10+D778*5+E778*1.66-(questionnaire!F778*1.66+questionnaire!G778*5+questionnaire!H778*10)</f>
        <v>0</v>
      </c>
    </row>
    <row r="779">
      <c r="A779" s="8" t="str">
        <f>questionnaire!A779</f>
        <v/>
      </c>
      <c r="B779" s="9" t="str">
        <f>questionnaire!B779</f>
        <v/>
      </c>
      <c r="C779" s="9" t="str">
        <f>questionnaire!C779</f>
        <v/>
      </c>
      <c r="D779" s="9" t="str">
        <f>questionnaire!D779</f>
        <v/>
      </c>
      <c r="E779" s="9" t="str">
        <f>questionnaire!E779</f>
        <v/>
      </c>
      <c r="F779" s="9">
        <f>8-questionnaire!F779</f>
        <v>8</v>
      </c>
      <c r="G779" s="9">
        <f>8-questionnaire!G779</f>
        <v>8</v>
      </c>
      <c r="H779" s="9">
        <f>8-questionnaire!H779</f>
        <v>8</v>
      </c>
      <c r="I779" s="9">
        <f>C779*10+D779*5+E779*1.66-(questionnaire!F779*1.66+questionnaire!G779*5+questionnaire!H779*10)</f>
        <v>0</v>
      </c>
    </row>
    <row r="780">
      <c r="A780" s="8" t="str">
        <f>questionnaire!A780</f>
        <v/>
      </c>
      <c r="B780" s="9" t="str">
        <f>questionnaire!B780</f>
        <v/>
      </c>
      <c r="C780" s="9" t="str">
        <f>questionnaire!C780</f>
        <v/>
      </c>
      <c r="D780" s="9" t="str">
        <f>questionnaire!D780</f>
        <v/>
      </c>
      <c r="E780" s="9" t="str">
        <f>questionnaire!E780</f>
        <v/>
      </c>
      <c r="F780" s="9">
        <f>8-questionnaire!F780</f>
        <v>8</v>
      </c>
      <c r="G780" s="9">
        <f>8-questionnaire!G780</f>
        <v>8</v>
      </c>
      <c r="H780" s="9">
        <f>8-questionnaire!H780</f>
        <v>8</v>
      </c>
      <c r="I780" s="9">
        <f>C780*10+D780*5+E780*1.66-(questionnaire!F780*1.66+questionnaire!G780*5+questionnaire!H780*10)</f>
        <v>0</v>
      </c>
    </row>
    <row r="781">
      <c r="A781" s="8" t="str">
        <f>questionnaire!A781</f>
        <v/>
      </c>
      <c r="B781" s="9" t="str">
        <f>questionnaire!B781</f>
        <v/>
      </c>
      <c r="C781" s="9" t="str">
        <f>questionnaire!C781</f>
        <v/>
      </c>
      <c r="D781" s="9" t="str">
        <f>questionnaire!D781</f>
        <v/>
      </c>
      <c r="E781" s="9" t="str">
        <f>questionnaire!E781</f>
        <v/>
      </c>
      <c r="F781" s="9">
        <f>8-questionnaire!F781</f>
        <v>8</v>
      </c>
      <c r="G781" s="9">
        <f>8-questionnaire!G781</f>
        <v>8</v>
      </c>
      <c r="H781" s="9">
        <f>8-questionnaire!H781</f>
        <v>8</v>
      </c>
      <c r="I781" s="9">
        <f>C781*10+D781*5+E781*1.66-(questionnaire!F781*1.66+questionnaire!G781*5+questionnaire!H781*10)</f>
        <v>0</v>
      </c>
    </row>
    <row r="782">
      <c r="A782" s="8" t="str">
        <f>questionnaire!A782</f>
        <v/>
      </c>
      <c r="B782" s="9" t="str">
        <f>questionnaire!B782</f>
        <v/>
      </c>
      <c r="C782" s="9" t="str">
        <f>questionnaire!C782</f>
        <v/>
      </c>
      <c r="D782" s="9" t="str">
        <f>questionnaire!D782</f>
        <v/>
      </c>
      <c r="E782" s="9" t="str">
        <f>questionnaire!E782</f>
        <v/>
      </c>
      <c r="F782" s="9">
        <f>8-questionnaire!F782</f>
        <v>8</v>
      </c>
      <c r="G782" s="9">
        <f>8-questionnaire!G782</f>
        <v>8</v>
      </c>
      <c r="H782" s="9">
        <f>8-questionnaire!H782</f>
        <v>8</v>
      </c>
      <c r="I782" s="9">
        <f>C782*10+D782*5+E782*1.66-(questionnaire!F782*1.66+questionnaire!G782*5+questionnaire!H782*10)</f>
        <v>0</v>
      </c>
    </row>
    <row r="783">
      <c r="A783" s="8" t="str">
        <f>questionnaire!A783</f>
        <v/>
      </c>
      <c r="B783" s="9" t="str">
        <f>questionnaire!B783</f>
        <v/>
      </c>
      <c r="C783" s="9" t="str">
        <f>questionnaire!C783</f>
        <v/>
      </c>
      <c r="D783" s="9" t="str">
        <f>questionnaire!D783</f>
        <v/>
      </c>
      <c r="E783" s="9" t="str">
        <f>questionnaire!E783</f>
        <v/>
      </c>
      <c r="F783" s="9">
        <f>8-questionnaire!F783</f>
        <v>8</v>
      </c>
      <c r="G783" s="9">
        <f>8-questionnaire!G783</f>
        <v>8</v>
      </c>
      <c r="H783" s="9">
        <f>8-questionnaire!H783</f>
        <v>8</v>
      </c>
      <c r="I783" s="9">
        <f>C783*10+D783*5+E783*1.66-(questionnaire!F783*1.66+questionnaire!G783*5+questionnaire!H783*10)</f>
        <v>0</v>
      </c>
    </row>
    <row r="784">
      <c r="A784" s="8" t="str">
        <f>questionnaire!A784</f>
        <v/>
      </c>
      <c r="B784" s="9" t="str">
        <f>questionnaire!B784</f>
        <v/>
      </c>
      <c r="C784" s="9" t="str">
        <f>questionnaire!C784</f>
        <v/>
      </c>
      <c r="D784" s="9" t="str">
        <f>questionnaire!D784</f>
        <v/>
      </c>
      <c r="E784" s="9" t="str">
        <f>questionnaire!E784</f>
        <v/>
      </c>
      <c r="F784" s="9">
        <f>8-questionnaire!F784</f>
        <v>8</v>
      </c>
      <c r="G784" s="9">
        <f>8-questionnaire!G784</f>
        <v>8</v>
      </c>
      <c r="H784" s="9">
        <f>8-questionnaire!H784</f>
        <v>8</v>
      </c>
      <c r="I784" s="9">
        <f>C784*10+D784*5+E784*1.66-(questionnaire!F784*1.66+questionnaire!G784*5+questionnaire!H784*10)</f>
        <v>0</v>
      </c>
    </row>
    <row r="785">
      <c r="A785" s="8" t="str">
        <f>questionnaire!A785</f>
        <v/>
      </c>
      <c r="B785" s="9" t="str">
        <f>questionnaire!B785</f>
        <v/>
      </c>
      <c r="C785" s="9" t="str">
        <f>questionnaire!C785</f>
        <v/>
      </c>
      <c r="D785" s="9" t="str">
        <f>questionnaire!D785</f>
        <v/>
      </c>
      <c r="E785" s="9" t="str">
        <f>questionnaire!E785</f>
        <v/>
      </c>
      <c r="F785" s="9">
        <f>8-questionnaire!F785</f>
        <v>8</v>
      </c>
      <c r="G785" s="9">
        <f>8-questionnaire!G785</f>
        <v>8</v>
      </c>
      <c r="H785" s="9">
        <f>8-questionnaire!H785</f>
        <v>8</v>
      </c>
      <c r="I785" s="9">
        <f>C785*10+D785*5+E785*1.66-(questionnaire!F785*1.66+questionnaire!G785*5+questionnaire!H785*10)</f>
        <v>0</v>
      </c>
    </row>
    <row r="786">
      <c r="A786" s="8" t="str">
        <f>questionnaire!A786</f>
        <v/>
      </c>
      <c r="B786" s="9" t="str">
        <f>questionnaire!B786</f>
        <v/>
      </c>
      <c r="C786" s="9" t="str">
        <f>questionnaire!C786</f>
        <v/>
      </c>
      <c r="D786" s="9" t="str">
        <f>questionnaire!D786</f>
        <v/>
      </c>
      <c r="E786" s="9" t="str">
        <f>questionnaire!E786</f>
        <v/>
      </c>
      <c r="F786" s="9">
        <f>8-questionnaire!F786</f>
        <v>8</v>
      </c>
      <c r="G786" s="9">
        <f>8-questionnaire!G786</f>
        <v>8</v>
      </c>
      <c r="H786" s="9">
        <f>8-questionnaire!H786</f>
        <v>8</v>
      </c>
      <c r="I786" s="9">
        <f>C786*10+D786*5+E786*1.66-(questionnaire!F786*1.66+questionnaire!G786*5+questionnaire!H786*10)</f>
        <v>0</v>
      </c>
    </row>
    <row r="787">
      <c r="A787" s="8" t="str">
        <f>questionnaire!A787</f>
        <v/>
      </c>
      <c r="B787" s="9" t="str">
        <f>questionnaire!B787</f>
        <v/>
      </c>
      <c r="C787" s="9" t="str">
        <f>questionnaire!C787</f>
        <v/>
      </c>
      <c r="D787" s="9" t="str">
        <f>questionnaire!D787</f>
        <v/>
      </c>
      <c r="E787" s="9" t="str">
        <f>questionnaire!E787</f>
        <v/>
      </c>
      <c r="F787" s="9">
        <f>8-questionnaire!F787</f>
        <v>8</v>
      </c>
      <c r="G787" s="9">
        <f>8-questionnaire!G787</f>
        <v>8</v>
      </c>
      <c r="H787" s="9">
        <f>8-questionnaire!H787</f>
        <v>8</v>
      </c>
      <c r="I787" s="9">
        <f>C787*10+D787*5+E787*1.66-(questionnaire!F787*1.66+questionnaire!G787*5+questionnaire!H787*10)</f>
        <v>0</v>
      </c>
    </row>
    <row r="788">
      <c r="A788" s="8" t="str">
        <f>questionnaire!A788</f>
        <v/>
      </c>
      <c r="B788" s="9" t="str">
        <f>questionnaire!B788</f>
        <v/>
      </c>
      <c r="C788" s="9" t="str">
        <f>questionnaire!C788</f>
        <v/>
      </c>
      <c r="D788" s="9" t="str">
        <f>questionnaire!D788</f>
        <v/>
      </c>
      <c r="E788" s="9" t="str">
        <f>questionnaire!E788</f>
        <v/>
      </c>
      <c r="F788" s="9">
        <f>8-questionnaire!F788</f>
        <v>8</v>
      </c>
      <c r="G788" s="9">
        <f>8-questionnaire!G788</f>
        <v>8</v>
      </c>
      <c r="H788" s="9">
        <f>8-questionnaire!H788</f>
        <v>8</v>
      </c>
      <c r="I788" s="9">
        <f>C788*10+D788*5+E788*1.66-(questionnaire!F788*1.66+questionnaire!G788*5+questionnaire!H788*10)</f>
        <v>0</v>
      </c>
    </row>
    <row r="789">
      <c r="A789" s="8" t="str">
        <f>questionnaire!A789</f>
        <v/>
      </c>
      <c r="B789" s="9" t="str">
        <f>questionnaire!B789</f>
        <v/>
      </c>
      <c r="C789" s="9" t="str">
        <f>questionnaire!C789</f>
        <v/>
      </c>
      <c r="D789" s="9" t="str">
        <f>questionnaire!D789</f>
        <v/>
      </c>
      <c r="E789" s="9" t="str">
        <f>questionnaire!E789</f>
        <v/>
      </c>
      <c r="F789" s="9">
        <f>8-questionnaire!F789</f>
        <v>8</v>
      </c>
      <c r="G789" s="9">
        <f>8-questionnaire!G789</f>
        <v>8</v>
      </c>
      <c r="H789" s="9">
        <f>8-questionnaire!H789</f>
        <v>8</v>
      </c>
      <c r="I789" s="9">
        <f>C789*10+D789*5+E789*1.66-(questionnaire!F789*1.66+questionnaire!G789*5+questionnaire!H789*10)</f>
        <v>0</v>
      </c>
    </row>
    <row r="790">
      <c r="A790" s="8" t="str">
        <f>questionnaire!A790</f>
        <v/>
      </c>
      <c r="B790" s="9" t="str">
        <f>questionnaire!B790</f>
        <v/>
      </c>
      <c r="C790" s="9" t="str">
        <f>questionnaire!C790</f>
        <v/>
      </c>
      <c r="D790" s="9" t="str">
        <f>questionnaire!D790</f>
        <v/>
      </c>
      <c r="E790" s="9" t="str">
        <f>questionnaire!E790</f>
        <v/>
      </c>
      <c r="F790" s="9">
        <f>8-questionnaire!F790</f>
        <v>8</v>
      </c>
      <c r="G790" s="9">
        <f>8-questionnaire!G790</f>
        <v>8</v>
      </c>
      <c r="H790" s="9">
        <f>8-questionnaire!H790</f>
        <v>8</v>
      </c>
      <c r="I790" s="9">
        <f>C790*10+D790*5+E790*1.66-(questionnaire!F790*1.66+questionnaire!G790*5+questionnaire!H790*10)</f>
        <v>0</v>
      </c>
    </row>
    <row r="791">
      <c r="A791" s="8" t="str">
        <f>questionnaire!A791</f>
        <v/>
      </c>
      <c r="B791" s="9" t="str">
        <f>questionnaire!B791</f>
        <v/>
      </c>
      <c r="C791" s="9" t="str">
        <f>questionnaire!C791</f>
        <v/>
      </c>
      <c r="D791" s="9" t="str">
        <f>questionnaire!D791</f>
        <v/>
      </c>
      <c r="E791" s="9" t="str">
        <f>questionnaire!E791</f>
        <v/>
      </c>
      <c r="F791" s="9">
        <f>8-questionnaire!F791</f>
        <v>8</v>
      </c>
      <c r="G791" s="9">
        <f>8-questionnaire!G791</f>
        <v>8</v>
      </c>
      <c r="H791" s="9">
        <f>8-questionnaire!H791</f>
        <v>8</v>
      </c>
      <c r="I791" s="9">
        <f>C791*10+D791*5+E791*1.66-(questionnaire!F791*1.66+questionnaire!G791*5+questionnaire!H791*10)</f>
        <v>0</v>
      </c>
    </row>
    <row r="792">
      <c r="A792" s="8" t="str">
        <f>questionnaire!A792</f>
        <v/>
      </c>
      <c r="B792" s="9" t="str">
        <f>questionnaire!B792</f>
        <v/>
      </c>
      <c r="C792" s="9" t="str">
        <f>questionnaire!C792</f>
        <v/>
      </c>
      <c r="D792" s="9" t="str">
        <f>questionnaire!D792</f>
        <v/>
      </c>
      <c r="E792" s="9" t="str">
        <f>questionnaire!E792</f>
        <v/>
      </c>
      <c r="F792" s="9">
        <f>8-questionnaire!F792</f>
        <v>8</v>
      </c>
      <c r="G792" s="9">
        <f>8-questionnaire!G792</f>
        <v>8</v>
      </c>
      <c r="H792" s="9">
        <f>8-questionnaire!H792</f>
        <v>8</v>
      </c>
      <c r="I792" s="9">
        <f>C792*10+D792*5+E792*1.66-(questionnaire!F792*1.66+questionnaire!G792*5+questionnaire!H792*10)</f>
        <v>0</v>
      </c>
    </row>
    <row r="793">
      <c r="A793" s="8" t="str">
        <f>questionnaire!A793</f>
        <v/>
      </c>
      <c r="B793" s="9" t="str">
        <f>questionnaire!B793</f>
        <v/>
      </c>
      <c r="C793" s="9" t="str">
        <f>questionnaire!C793</f>
        <v/>
      </c>
      <c r="D793" s="9" t="str">
        <f>questionnaire!D793</f>
        <v/>
      </c>
      <c r="E793" s="9" t="str">
        <f>questionnaire!E793</f>
        <v/>
      </c>
      <c r="F793" s="9">
        <f>8-questionnaire!F793</f>
        <v>8</v>
      </c>
      <c r="G793" s="9">
        <f>8-questionnaire!G793</f>
        <v>8</v>
      </c>
      <c r="H793" s="9">
        <f>8-questionnaire!H793</f>
        <v>8</v>
      </c>
      <c r="I793" s="9">
        <f>C793*10+D793*5+E793*1.66-(questionnaire!F793*1.66+questionnaire!G793*5+questionnaire!H793*10)</f>
        <v>0</v>
      </c>
    </row>
    <row r="794">
      <c r="A794" s="8" t="str">
        <f>questionnaire!A794</f>
        <v/>
      </c>
      <c r="B794" s="9" t="str">
        <f>questionnaire!B794</f>
        <v/>
      </c>
      <c r="C794" s="9" t="str">
        <f>questionnaire!C794</f>
        <v/>
      </c>
      <c r="D794" s="9" t="str">
        <f>questionnaire!D794</f>
        <v/>
      </c>
      <c r="E794" s="9" t="str">
        <f>questionnaire!E794</f>
        <v/>
      </c>
      <c r="F794" s="9">
        <f>8-questionnaire!F794</f>
        <v>8</v>
      </c>
      <c r="G794" s="9">
        <f>8-questionnaire!G794</f>
        <v>8</v>
      </c>
      <c r="H794" s="9">
        <f>8-questionnaire!H794</f>
        <v>8</v>
      </c>
      <c r="I794" s="9">
        <f>C794*10+D794*5+E794*1.66-(questionnaire!F794*1.66+questionnaire!G794*5+questionnaire!H794*10)</f>
        <v>0</v>
      </c>
    </row>
    <row r="795">
      <c r="A795" s="8" t="str">
        <f>questionnaire!A795</f>
        <v/>
      </c>
      <c r="B795" s="9" t="str">
        <f>questionnaire!B795</f>
        <v/>
      </c>
      <c r="C795" s="9" t="str">
        <f>questionnaire!C795</f>
        <v/>
      </c>
      <c r="D795" s="9" t="str">
        <f>questionnaire!D795</f>
        <v/>
      </c>
      <c r="E795" s="9" t="str">
        <f>questionnaire!E795</f>
        <v/>
      </c>
      <c r="F795" s="9">
        <f>8-questionnaire!F795</f>
        <v>8</v>
      </c>
      <c r="G795" s="9">
        <f>8-questionnaire!G795</f>
        <v>8</v>
      </c>
      <c r="H795" s="9">
        <f>8-questionnaire!H795</f>
        <v>8</v>
      </c>
      <c r="I795" s="9">
        <f>C795*10+D795*5+E795*1.66-(questionnaire!F795*1.66+questionnaire!G795*5+questionnaire!H795*10)</f>
        <v>0</v>
      </c>
    </row>
    <row r="796">
      <c r="A796" s="8" t="str">
        <f>questionnaire!A796</f>
        <v/>
      </c>
      <c r="B796" s="9" t="str">
        <f>questionnaire!B796</f>
        <v/>
      </c>
      <c r="C796" s="9" t="str">
        <f>questionnaire!C796</f>
        <v/>
      </c>
      <c r="D796" s="9" t="str">
        <f>questionnaire!D796</f>
        <v/>
      </c>
      <c r="E796" s="9" t="str">
        <f>questionnaire!E796</f>
        <v/>
      </c>
      <c r="F796" s="9">
        <f>8-questionnaire!F796</f>
        <v>8</v>
      </c>
      <c r="G796" s="9">
        <f>8-questionnaire!G796</f>
        <v>8</v>
      </c>
      <c r="H796" s="9">
        <f>8-questionnaire!H796</f>
        <v>8</v>
      </c>
      <c r="I796" s="9">
        <f>C796*10+D796*5+E796*1.66-(questionnaire!F796*1.66+questionnaire!G796*5+questionnaire!H796*10)</f>
        <v>0</v>
      </c>
    </row>
    <row r="797">
      <c r="A797" s="8" t="str">
        <f>questionnaire!A797</f>
        <v/>
      </c>
      <c r="B797" s="9" t="str">
        <f>questionnaire!B797</f>
        <v/>
      </c>
      <c r="C797" s="9" t="str">
        <f>questionnaire!C797</f>
        <v/>
      </c>
      <c r="D797" s="9" t="str">
        <f>questionnaire!D797</f>
        <v/>
      </c>
      <c r="E797" s="9" t="str">
        <f>questionnaire!E797</f>
        <v/>
      </c>
      <c r="F797" s="9">
        <f>8-questionnaire!F797</f>
        <v>8</v>
      </c>
      <c r="G797" s="9">
        <f>8-questionnaire!G797</f>
        <v>8</v>
      </c>
      <c r="H797" s="9">
        <f>8-questionnaire!H797</f>
        <v>8</v>
      </c>
      <c r="I797" s="9">
        <f>C797*10+D797*5+E797*1.66-(questionnaire!F797*1.66+questionnaire!G797*5+questionnaire!H797*10)</f>
        <v>0</v>
      </c>
    </row>
    <row r="798">
      <c r="A798" s="8" t="str">
        <f>questionnaire!A798</f>
        <v/>
      </c>
      <c r="B798" s="9" t="str">
        <f>questionnaire!B798</f>
        <v/>
      </c>
      <c r="C798" s="9" t="str">
        <f>questionnaire!C798</f>
        <v/>
      </c>
      <c r="D798" s="9" t="str">
        <f>questionnaire!D798</f>
        <v/>
      </c>
      <c r="E798" s="9" t="str">
        <f>questionnaire!E798</f>
        <v/>
      </c>
      <c r="F798" s="9">
        <f>8-questionnaire!F798</f>
        <v>8</v>
      </c>
      <c r="G798" s="9">
        <f>8-questionnaire!G798</f>
        <v>8</v>
      </c>
      <c r="H798" s="9">
        <f>8-questionnaire!H798</f>
        <v>8</v>
      </c>
      <c r="I798" s="9">
        <f>C798*10+D798*5+E798*1.66-(questionnaire!F798*1.66+questionnaire!G798*5+questionnaire!H798*10)</f>
        <v>0</v>
      </c>
    </row>
    <row r="799">
      <c r="A799" s="8" t="str">
        <f>questionnaire!A799</f>
        <v/>
      </c>
      <c r="B799" s="9" t="str">
        <f>questionnaire!B799</f>
        <v/>
      </c>
      <c r="C799" s="9" t="str">
        <f>questionnaire!C799</f>
        <v/>
      </c>
      <c r="D799" s="9" t="str">
        <f>questionnaire!D799</f>
        <v/>
      </c>
      <c r="E799" s="9" t="str">
        <f>questionnaire!E799</f>
        <v/>
      </c>
      <c r="F799" s="9">
        <f>8-questionnaire!F799</f>
        <v>8</v>
      </c>
      <c r="G799" s="9">
        <f>8-questionnaire!G799</f>
        <v>8</v>
      </c>
      <c r="H799" s="9">
        <f>8-questionnaire!H799</f>
        <v>8</v>
      </c>
      <c r="I799" s="9">
        <f>C799*10+D799*5+E799*1.66-(questionnaire!F799*1.66+questionnaire!G799*5+questionnaire!H799*10)</f>
        <v>0</v>
      </c>
    </row>
    <row r="800">
      <c r="A800" s="8" t="str">
        <f>questionnaire!A800</f>
        <v/>
      </c>
      <c r="B800" s="9" t="str">
        <f>questionnaire!B800</f>
        <v/>
      </c>
      <c r="C800" s="9" t="str">
        <f>questionnaire!C800</f>
        <v/>
      </c>
      <c r="D800" s="9" t="str">
        <f>questionnaire!D800</f>
        <v/>
      </c>
      <c r="E800" s="9" t="str">
        <f>questionnaire!E800</f>
        <v/>
      </c>
      <c r="F800" s="9">
        <f>8-questionnaire!F800</f>
        <v>8</v>
      </c>
      <c r="G800" s="9">
        <f>8-questionnaire!G800</f>
        <v>8</v>
      </c>
      <c r="H800" s="9">
        <f>8-questionnaire!H800</f>
        <v>8</v>
      </c>
      <c r="I800" s="9">
        <f>C800*10+D800*5+E800*1.66-(questionnaire!F800*1.66+questionnaire!G800*5+questionnaire!H800*10)</f>
        <v>0</v>
      </c>
    </row>
    <row r="801">
      <c r="A801" s="8" t="str">
        <f>questionnaire!A801</f>
        <v/>
      </c>
      <c r="B801" s="9" t="str">
        <f>questionnaire!B801</f>
        <v/>
      </c>
      <c r="C801" s="9" t="str">
        <f>questionnaire!C801</f>
        <v/>
      </c>
      <c r="D801" s="9" t="str">
        <f>questionnaire!D801</f>
        <v/>
      </c>
      <c r="E801" s="9" t="str">
        <f>questionnaire!E801</f>
        <v/>
      </c>
      <c r="F801" s="9">
        <f>8-questionnaire!F801</f>
        <v>8</v>
      </c>
      <c r="G801" s="9">
        <f>8-questionnaire!G801</f>
        <v>8</v>
      </c>
      <c r="H801" s="9">
        <f>8-questionnaire!H801</f>
        <v>8</v>
      </c>
      <c r="I801" s="9">
        <f>C801*10+D801*5+E801*1.66-(questionnaire!F801*1.66+questionnaire!G801*5+questionnaire!H801*10)</f>
        <v>0</v>
      </c>
    </row>
    <row r="802">
      <c r="A802" s="8" t="str">
        <f>questionnaire!A802</f>
        <v/>
      </c>
      <c r="B802" s="9" t="str">
        <f>questionnaire!B802</f>
        <v/>
      </c>
      <c r="C802" s="9" t="str">
        <f>questionnaire!C802</f>
        <v/>
      </c>
      <c r="D802" s="9" t="str">
        <f>questionnaire!D802</f>
        <v/>
      </c>
      <c r="E802" s="9" t="str">
        <f>questionnaire!E802</f>
        <v/>
      </c>
      <c r="F802" s="9">
        <f>8-questionnaire!F802</f>
        <v>8</v>
      </c>
      <c r="G802" s="9">
        <f>8-questionnaire!G802</f>
        <v>8</v>
      </c>
      <c r="H802" s="9">
        <f>8-questionnaire!H802</f>
        <v>8</v>
      </c>
      <c r="I802" s="9">
        <f>C802*10+D802*5+E802*1.66-(questionnaire!F802*1.66+questionnaire!G802*5+questionnaire!H802*10)</f>
        <v>0</v>
      </c>
    </row>
    <row r="803">
      <c r="A803" s="8" t="str">
        <f>questionnaire!A803</f>
        <v/>
      </c>
      <c r="B803" s="9" t="str">
        <f>questionnaire!B803</f>
        <v/>
      </c>
      <c r="C803" s="9" t="str">
        <f>questionnaire!C803</f>
        <v/>
      </c>
      <c r="D803" s="9" t="str">
        <f>questionnaire!D803</f>
        <v/>
      </c>
      <c r="E803" s="9" t="str">
        <f>questionnaire!E803</f>
        <v/>
      </c>
      <c r="F803" s="9">
        <f>8-questionnaire!F803</f>
        <v>8</v>
      </c>
      <c r="G803" s="9">
        <f>8-questionnaire!G803</f>
        <v>8</v>
      </c>
      <c r="H803" s="9">
        <f>8-questionnaire!H803</f>
        <v>8</v>
      </c>
      <c r="I803" s="9">
        <f>C803*10+D803*5+E803*1.66-(questionnaire!F803*1.66+questionnaire!G803*5+questionnaire!H803*10)</f>
        <v>0</v>
      </c>
    </row>
    <row r="804">
      <c r="A804" s="8" t="str">
        <f>questionnaire!A804</f>
        <v/>
      </c>
      <c r="B804" s="9" t="str">
        <f>questionnaire!B804</f>
        <v/>
      </c>
      <c r="C804" s="9" t="str">
        <f>questionnaire!C804</f>
        <v/>
      </c>
      <c r="D804" s="9" t="str">
        <f>questionnaire!D804</f>
        <v/>
      </c>
      <c r="E804" s="9" t="str">
        <f>questionnaire!E804</f>
        <v/>
      </c>
      <c r="F804" s="9">
        <f>8-questionnaire!F804</f>
        <v>8</v>
      </c>
      <c r="G804" s="9">
        <f>8-questionnaire!G804</f>
        <v>8</v>
      </c>
      <c r="H804" s="9">
        <f>8-questionnaire!H804</f>
        <v>8</v>
      </c>
      <c r="I804" s="9">
        <f>C804*10+D804*5+E804*1.66-(questionnaire!F804*1.66+questionnaire!G804*5+questionnaire!H804*10)</f>
        <v>0</v>
      </c>
    </row>
    <row r="805">
      <c r="A805" s="8" t="str">
        <f>questionnaire!A805</f>
        <v/>
      </c>
      <c r="B805" s="9" t="str">
        <f>questionnaire!B805</f>
        <v/>
      </c>
      <c r="C805" s="9" t="str">
        <f>questionnaire!C805</f>
        <v/>
      </c>
      <c r="D805" s="9" t="str">
        <f>questionnaire!D805</f>
        <v/>
      </c>
      <c r="E805" s="9" t="str">
        <f>questionnaire!E805</f>
        <v/>
      </c>
      <c r="F805" s="9">
        <f>8-questionnaire!F805</f>
        <v>8</v>
      </c>
      <c r="G805" s="9">
        <f>8-questionnaire!G805</f>
        <v>8</v>
      </c>
      <c r="H805" s="9">
        <f>8-questionnaire!H805</f>
        <v>8</v>
      </c>
      <c r="I805" s="9">
        <f>C805*10+D805*5+E805*1.66-(questionnaire!F805*1.66+questionnaire!G805*5+questionnaire!H805*10)</f>
        <v>0</v>
      </c>
    </row>
    <row r="806">
      <c r="A806" s="8" t="str">
        <f>questionnaire!A806</f>
        <v/>
      </c>
      <c r="B806" s="9" t="str">
        <f>questionnaire!B806</f>
        <v/>
      </c>
      <c r="C806" s="9" t="str">
        <f>questionnaire!C806</f>
        <v/>
      </c>
      <c r="D806" s="9" t="str">
        <f>questionnaire!D806</f>
        <v/>
      </c>
      <c r="E806" s="9" t="str">
        <f>questionnaire!E806</f>
        <v/>
      </c>
      <c r="F806" s="9">
        <f>8-questionnaire!F806</f>
        <v>8</v>
      </c>
      <c r="G806" s="9">
        <f>8-questionnaire!G806</f>
        <v>8</v>
      </c>
      <c r="H806" s="9">
        <f>8-questionnaire!H806</f>
        <v>8</v>
      </c>
      <c r="I806" s="9">
        <f>C806*10+D806*5+E806*1.66-(questionnaire!F806*1.66+questionnaire!G806*5+questionnaire!H806*10)</f>
        <v>0</v>
      </c>
    </row>
    <row r="807">
      <c r="A807" s="8" t="str">
        <f>questionnaire!A807</f>
        <v/>
      </c>
      <c r="B807" s="9" t="str">
        <f>questionnaire!B807</f>
        <v/>
      </c>
      <c r="C807" s="9" t="str">
        <f>questionnaire!C807</f>
        <v/>
      </c>
      <c r="D807" s="9" t="str">
        <f>questionnaire!D807</f>
        <v/>
      </c>
      <c r="E807" s="9" t="str">
        <f>questionnaire!E807</f>
        <v/>
      </c>
      <c r="F807" s="9">
        <f>8-questionnaire!F807</f>
        <v>8</v>
      </c>
      <c r="G807" s="9">
        <f>8-questionnaire!G807</f>
        <v>8</v>
      </c>
      <c r="H807" s="9">
        <f>8-questionnaire!H807</f>
        <v>8</v>
      </c>
      <c r="I807" s="9">
        <f>C807*10+D807*5+E807*1.66-(questionnaire!F807*1.66+questionnaire!G807*5+questionnaire!H807*10)</f>
        <v>0</v>
      </c>
    </row>
    <row r="808">
      <c r="A808" s="8" t="str">
        <f>questionnaire!A808</f>
        <v/>
      </c>
      <c r="B808" s="9" t="str">
        <f>questionnaire!B808</f>
        <v/>
      </c>
      <c r="C808" s="9" t="str">
        <f>questionnaire!C808</f>
        <v/>
      </c>
      <c r="D808" s="9" t="str">
        <f>questionnaire!D808</f>
        <v/>
      </c>
      <c r="E808" s="9" t="str">
        <f>questionnaire!E808</f>
        <v/>
      </c>
      <c r="F808" s="9">
        <f>8-questionnaire!F808</f>
        <v>8</v>
      </c>
      <c r="G808" s="9">
        <f>8-questionnaire!G808</f>
        <v>8</v>
      </c>
      <c r="H808" s="9">
        <f>8-questionnaire!H808</f>
        <v>8</v>
      </c>
      <c r="I808" s="9">
        <f>C808*10+D808*5+E808*1.66-(questionnaire!F808*1.66+questionnaire!G808*5+questionnaire!H808*10)</f>
        <v>0</v>
      </c>
    </row>
    <row r="809">
      <c r="A809" s="8" t="str">
        <f>questionnaire!A809</f>
        <v/>
      </c>
      <c r="B809" s="9" t="str">
        <f>questionnaire!B809</f>
        <v/>
      </c>
      <c r="C809" s="9" t="str">
        <f>questionnaire!C809</f>
        <v/>
      </c>
      <c r="D809" s="9" t="str">
        <f>questionnaire!D809</f>
        <v/>
      </c>
      <c r="E809" s="9" t="str">
        <f>questionnaire!E809</f>
        <v/>
      </c>
      <c r="F809" s="9">
        <f>8-questionnaire!F809</f>
        <v>8</v>
      </c>
      <c r="G809" s="9">
        <f>8-questionnaire!G809</f>
        <v>8</v>
      </c>
      <c r="H809" s="9">
        <f>8-questionnaire!H809</f>
        <v>8</v>
      </c>
      <c r="I809" s="9">
        <f>C809*10+D809*5+E809*1.66-(questionnaire!F809*1.66+questionnaire!G809*5+questionnaire!H809*10)</f>
        <v>0</v>
      </c>
    </row>
    <row r="810">
      <c r="A810" s="8" t="str">
        <f>questionnaire!A810</f>
        <v/>
      </c>
      <c r="B810" s="9" t="str">
        <f>questionnaire!B810</f>
        <v/>
      </c>
      <c r="C810" s="9" t="str">
        <f>questionnaire!C810</f>
        <v/>
      </c>
      <c r="D810" s="9" t="str">
        <f>questionnaire!D810</f>
        <v/>
      </c>
      <c r="E810" s="9" t="str">
        <f>questionnaire!E810</f>
        <v/>
      </c>
      <c r="F810" s="9">
        <f>8-questionnaire!F810</f>
        <v>8</v>
      </c>
      <c r="G810" s="9">
        <f>8-questionnaire!G810</f>
        <v>8</v>
      </c>
      <c r="H810" s="9">
        <f>8-questionnaire!H810</f>
        <v>8</v>
      </c>
      <c r="I810" s="9">
        <f>C810*10+D810*5+E810*1.66-(questionnaire!F810*1.66+questionnaire!G810*5+questionnaire!H810*10)</f>
        <v>0</v>
      </c>
    </row>
    <row r="811">
      <c r="A811" s="8" t="str">
        <f>questionnaire!A811</f>
        <v/>
      </c>
      <c r="B811" s="9" t="str">
        <f>questionnaire!B811</f>
        <v/>
      </c>
      <c r="C811" s="9" t="str">
        <f>questionnaire!C811</f>
        <v/>
      </c>
      <c r="D811" s="9" t="str">
        <f>questionnaire!D811</f>
        <v/>
      </c>
      <c r="E811" s="9" t="str">
        <f>questionnaire!E811</f>
        <v/>
      </c>
      <c r="F811" s="9">
        <f>8-questionnaire!F811</f>
        <v>8</v>
      </c>
      <c r="G811" s="9">
        <f>8-questionnaire!G811</f>
        <v>8</v>
      </c>
      <c r="H811" s="9">
        <f>8-questionnaire!H811</f>
        <v>8</v>
      </c>
      <c r="I811" s="9">
        <f>C811*10+D811*5+E811*1.66-(questionnaire!F811*1.66+questionnaire!G811*5+questionnaire!H811*10)</f>
        <v>0</v>
      </c>
    </row>
    <row r="812">
      <c r="A812" s="8" t="str">
        <f>questionnaire!A812</f>
        <v/>
      </c>
      <c r="B812" s="9" t="str">
        <f>questionnaire!B812</f>
        <v/>
      </c>
      <c r="C812" s="9" t="str">
        <f>questionnaire!C812</f>
        <v/>
      </c>
      <c r="D812" s="9" t="str">
        <f>questionnaire!D812</f>
        <v/>
      </c>
      <c r="E812" s="9" t="str">
        <f>questionnaire!E812</f>
        <v/>
      </c>
      <c r="F812" s="9">
        <f>8-questionnaire!F812</f>
        <v>8</v>
      </c>
      <c r="G812" s="9">
        <f>8-questionnaire!G812</f>
        <v>8</v>
      </c>
      <c r="H812" s="9">
        <f>8-questionnaire!H812</f>
        <v>8</v>
      </c>
      <c r="I812" s="9">
        <f>C812*10+D812*5+E812*1.66-(questionnaire!F812*1.66+questionnaire!G812*5+questionnaire!H812*10)</f>
        <v>0</v>
      </c>
    </row>
    <row r="813">
      <c r="A813" s="8" t="str">
        <f>questionnaire!A813</f>
        <v/>
      </c>
      <c r="B813" s="9" t="str">
        <f>questionnaire!B813</f>
        <v/>
      </c>
      <c r="C813" s="9" t="str">
        <f>questionnaire!C813</f>
        <v/>
      </c>
      <c r="D813" s="9" t="str">
        <f>questionnaire!D813</f>
        <v/>
      </c>
      <c r="E813" s="9" t="str">
        <f>questionnaire!E813</f>
        <v/>
      </c>
      <c r="F813" s="9">
        <f>8-questionnaire!F813</f>
        <v>8</v>
      </c>
      <c r="G813" s="9">
        <f>8-questionnaire!G813</f>
        <v>8</v>
      </c>
      <c r="H813" s="9">
        <f>8-questionnaire!H813</f>
        <v>8</v>
      </c>
      <c r="I813" s="9">
        <f>C813*10+D813*5+E813*1.66-(questionnaire!F813*1.66+questionnaire!G813*5+questionnaire!H813*10)</f>
        <v>0</v>
      </c>
    </row>
    <row r="814">
      <c r="A814" s="8" t="str">
        <f>questionnaire!A814</f>
        <v/>
      </c>
      <c r="B814" s="9" t="str">
        <f>questionnaire!B814</f>
        <v/>
      </c>
      <c r="C814" s="9" t="str">
        <f>questionnaire!C814</f>
        <v/>
      </c>
      <c r="D814" s="9" t="str">
        <f>questionnaire!D814</f>
        <v/>
      </c>
      <c r="E814" s="9" t="str">
        <f>questionnaire!E814</f>
        <v/>
      </c>
      <c r="F814" s="9">
        <f>8-questionnaire!F814</f>
        <v>8</v>
      </c>
      <c r="G814" s="9">
        <f>8-questionnaire!G814</f>
        <v>8</v>
      </c>
      <c r="H814" s="9">
        <f>8-questionnaire!H814</f>
        <v>8</v>
      </c>
      <c r="I814" s="9">
        <f>C814*10+D814*5+E814*1.66-(questionnaire!F814*1.66+questionnaire!G814*5+questionnaire!H814*10)</f>
        <v>0</v>
      </c>
    </row>
    <row r="815">
      <c r="A815" s="8" t="str">
        <f>questionnaire!A815</f>
        <v/>
      </c>
      <c r="B815" s="9" t="str">
        <f>questionnaire!B815</f>
        <v/>
      </c>
      <c r="C815" s="9" t="str">
        <f>questionnaire!C815</f>
        <v/>
      </c>
      <c r="D815" s="9" t="str">
        <f>questionnaire!D815</f>
        <v/>
      </c>
      <c r="E815" s="9" t="str">
        <f>questionnaire!E815</f>
        <v/>
      </c>
      <c r="F815" s="9">
        <f>8-questionnaire!F815</f>
        <v>8</v>
      </c>
      <c r="G815" s="9">
        <f>8-questionnaire!G815</f>
        <v>8</v>
      </c>
      <c r="H815" s="9">
        <f>8-questionnaire!H815</f>
        <v>8</v>
      </c>
      <c r="I815" s="9">
        <f>C815*10+D815*5+E815*1.66-(questionnaire!F815*1.66+questionnaire!G815*5+questionnaire!H815*10)</f>
        <v>0</v>
      </c>
    </row>
    <row r="816">
      <c r="A816" s="8" t="str">
        <f>questionnaire!A816</f>
        <v/>
      </c>
      <c r="B816" s="9" t="str">
        <f>questionnaire!B816</f>
        <v/>
      </c>
      <c r="C816" s="9" t="str">
        <f>questionnaire!C816</f>
        <v/>
      </c>
      <c r="D816" s="9" t="str">
        <f>questionnaire!D816</f>
        <v/>
      </c>
      <c r="E816" s="9" t="str">
        <f>questionnaire!E816</f>
        <v/>
      </c>
      <c r="F816" s="9">
        <f>8-questionnaire!F816</f>
        <v>8</v>
      </c>
      <c r="G816" s="9">
        <f>8-questionnaire!G816</f>
        <v>8</v>
      </c>
      <c r="H816" s="9">
        <f>8-questionnaire!H816</f>
        <v>8</v>
      </c>
      <c r="I816" s="9">
        <f>C816*10+D816*5+E816*1.66-(questionnaire!F816*1.66+questionnaire!G816*5+questionnaire!H816*10)</f>
        <v>0</v>
      </c>
    </row>
    <row r="817">
      <c r="A817" s="8" t="str">
        <f>questionnaire!A817</f>
        <v/>
      </c>
      <c r="B817" s="9" t="str">
        <f>questionnaire!B817</f>
        <v/>
      </c>
      <c r="C817" s="9" t="str">
        <f>questionnaire!C817</f>
        <v/>
      </c>
      <c r="D817" s="9" t="str">
        <f>questionnaire!D817</f>
        <v/>
      </c>
      <c r="E817" s="9" t="str">
        <f>questionnaire!E817</f>
        <v/>
      </c>
      <c r="F817" s="9">
        <f>8-questionnaire!F817</f>
        <v>8</v>
      </c>
      <c r="G817" s="9">
        <f>8-questionnaire!G817</f>
        <v>8</v>
      </c>
      <c r="H817" s="9">
        <f>8-questionnaire!H817</f>
        <v>8</v>
      </c>
      <c r="I817" s="9">
        <f>C817*10+D817*5+E817*1.66-(questionnaire!F817*1.66+questionnaire!G817*5+questionnaire!H817*10)</f>
        <v>0</v>
      </c>
    </row>
    <row r="818">
      <c r="A818" s="8" t="str">
        <f>questionnaire!A818</f>
        <v/>
      </c>
      <c r="B818" s="9" t="str">
        <f>questionnaire!B818</f>
        <v/>
      </c>
      <c r="C818" s="9" t="str">
        <f>questionnaire!C818</f>
        <v/>
      </c>
      <c r="D818" s="9" t="str">
        <f>questionnaire!D818</f>
        <v/>
      </c>
      <c r="E818" s="9" t="str">
        <f>questionnaire!E818</f>
        <v/>
      </c>
      <c r="F818" s="9">
        <f>8-questionnaire!F818</f>
        <v>8</v>
      </c>
      <c r="G818" s="9">
        <f>8-questionnaire!G818</f>
        <v>8</v>
      </c>
      <c r="H818" s="9">
        <f>8-questionnaire!H818</f>
        <v>8</v>
      </c>
      <c r="I818" s="9">
        <f>C818*10+D818*5+E818*1.66-(questionnaire!F818*1.66+questionnaire!G818*5+questionnaire!H818*10)</f>
        <v>0</v>
      </c>
    </row>
    <row r="819">
      <c r="A819" s="8" t="str">
        <f>questionnaire!A819</f>
        <v/>
      </c>
      <c r="B819" s="9" t="str">
        <f>questionnaire!B819</f>
        <v/>
      </c>
      <c r="C819" s="9" t="str">
        <f>questionnaire!C819</f>
        <v/>
      </c>
      <c r="D819" s="9" t="str">
        <f>questionnaire!D819</f>
        <v/>
      </c>
      <c r="E819" s="9" t="str">
        <f>questionnaire!E819</f>
        <v/>
      </c>
      <c r="F819" s="9">
        <f>8-questionnaire!F819</f>
        <v>8</v>
      </c>
      <c r="G819" s="9">
        <f>8-questionnaire!G819</f>
        <v>8</v>
      </c>
      <c r="H819" s="9">
        <f>8-questionnaire!H819</f>
        <v>8</v>
      </c>
      <c r="I819" s="9">
        <f>C819*10+D819*5+E819*1.66-(questionnaire!F819*1.66+questionnaire!G819*5+questionnaire!H819*10)</f>
        <v>0</v>
      </c>
    </row>
    <row r="820">
      <c r="A820" s="8" t="str">
        <f>questionnaire!A820</f>
        <v/>
      </c>
      <c r="B820" s="9" t="str">
        <f>questionnaire!B820</f>
        <v/>
      </c>
      <c r="C820" s="9" t="str">
        <f>questionnaire!C820</f>
        <v/>
      </c>
      <c r="D820" s="9" t="str">
        <f>questionnaire!D820</f>
        <v/>
      </c>
      <c r="E820" s="9" t="str">
        <f>questionnaire!E820</f>
        <v/>
      </c>
      <c r="F820" s="9">
        <f>8-questionnaire!F820</f>
        <v>8</v>
      </c>
      <c r="G820" s="9">
        <f>8-questionnaire!G820</f>
        <v>8</v>
      </c>
      <c r="H820" s="9">
        <f>8-questionnaire!H820</f>
        <v>8</v>
      </c>
      <c r="I820" s="9">
        <f>C820*10+D820*5+E820*1.66-(questionnaire!F820*1.66+questionnaire!G820*5+questionnaire!H820*10)</f>
        <v>0</v>
      </c>
    </row>
    <row r="821">
      <c r="A821" s="8" t="str">
        <f>questionnaire!A821</f>
        <v/>
      </c>
      <c r="B821" s="9" t="str">
        <f>questionnaire!B821</f>
        <v/>
      </c>
      <c r="C821" s="9" t="str">
        <f>questionnaire!C821</f>
        <v/>
      </c>
      <c r="D821" s="9" t="str">
        <f>questionnaire!D821</f>
        <v/>
      </c>
      <c r="E821" s="9" t="str">
        <f>questionnaire!E821</f>
        <v/>
      </c>
      <c r="F821" s="9">
        <f>8-questionnaire!F821</f>
        <v>8</v>
      </c>
      <c r="G821" s="9">
        <f>8-questionnaire!G821</f>
        <v>8</v>
      </c>
      <c r="H821" s="9">
        <f>8-questionnaire!H821</f>
        <v>8</v>
      </c>
      <c r="I821" s="9">
        <f>C821*10+D821*5+E821*1.66-(questionnaire!F821*1.66+questionnaire!G821*5+questionnaire!H821*10)</f>
        <v>0</v>
      </c>
    </row>
    <row r="822">
      <c r="A822" s="8" t="str">
        <f>questionnaire!A822</f>
        <v/>
      </c>
      <c r="B822" s="9" t="str">
        <f>questionnaire!B822</f>
        <v/>
      </c>
      <c r="C822" s="9" t="str">
        <f>questionnaire!C822</f>
        <v/>
      </c>
      <c r="D822" s="9" t="str">
        <f>questionnaire!D822</f>
        <v/>
      </c>
      <c r="E822" s="9" t="str">
        <f>questionnaire!E822</f>
        <v/>
      </c>
      <c r="F822" s="9">
        <f>8-questionnaire!F822</f>
        <v>8</v>
      </c>
      <c r="G822" s="9">
        <f>8-questionnaire!G822</f>
        <v>8</v>
      </c>
      <c r="H822" s="9">
        <f>8-questionnaire!H822</f>
        <v>8</v>
      </c>
      <c r="I822" s="9">
        <f>C822*10+D822*5+E822*1.66-(questionnaire!F822*1.66+questionnaire!G822*5+questionnaire!H822*10)</f>
        <v>0</v>
      </c>
    </row>
    <row r="823">
      <c r="A823" s="8" t="str">
        <f>questionnaire!A823</f>
        <v/>
      </c>
      <c r="B823" s="9" t="str">
        <f>questionnaire!B823</f>
        <v/>
      </c>
      <c r="C823" s="9" t="str">
        <f>questionnaire!C823</f>
        <v/>
      </c>
      <c r="D823" s="9" t="str">
        <f>questionnaire!D823</f>
        <v/>
      </c>
      <c r="E823" s="9" t="str">
        <f>questionnaire!E823</f>
        <v/>
      </c>
      <c r="F823" s="9">
        <f>8-questionnaire!F823</f>
        <v>8</v>
      </c>
      <c r="G823" s="9">
        <f>8-questionnaire!G823</f>
        <v>8</v>
      </c>
      <c r="H823" s="9">
        <f>8-questionnaire!H823</f>
        <v>8</v>
      </c>
      <c r="I823" s="9">
        <f>C823*10+D823*5+E823*1.66-(questionnaire!F823*1.66+questionnaire!G823*5+questionnaire!H823*10)</f>
        <v>0</v>
      </c>
    </row>
    <row r="824">
      <c r="A824" s="8" t="str">
        <f>questionnaire!A824</f>
        <v/>
      </c>
      <c r="B824" s="9" t="str">
        <f>questionnaire!B824</f>
        <v/>
      </c>
      <c r="C824" s="9" t="str">
        <f>questionnaire!C824</f>
        <v/>
      </c>
      <c r="D824" s="9" t="str">
        <f>questionnaire!D824</f>
        <v/>
      </c>
      <c r="E824" s="9" t="str">
        <f>questionnaire!E824</f>
        <v/>
      </c>
      <c r="F824" s="9">
        <f>8-questionnaire!F824</f>
        <v>8</v>
      </c>
      <c r="G824" s="9">
        <f>8-questionnaire!G824</f>
        <v>8</v>
      </c>
      <c r="H824" s="9">
        <f>8-questionnaire!H824</f>
        <v>8</v>
      </c>
      <c r="I824" s="9">
        <f>C824*10+D824*5+E824*1.66-(questionnaire!F824*1.66+questionnaire!G824*5+questionnaire!H824*10)</f>
        <v>0</v>
      </c>
    </row>
    <row r="825">
      <c r="A825" s="8" t="str">
        <f>questionnaire!A825</f>
        <v/>
      </c>
      <c r="B825" s="9" t="str">
        <f>questionnaire!B825</f>
        <v/>
      </c>
      <c r="C825" s="9" t="str">
        <f>questionnaire!C825</f>
        <v/>
      </c>
      <c r="D825" s="9" t="str">
        <f>questionnaire!D825</f>
        <v/>
      </c>
      <c r="E825" s="9" t="str">
        <f>questionnaire!E825</f>
        <v/>
      </c>
      <c r="F825" s="9">
        <f>8-questionnaire!F825</f>
        <v>8</v>
      </c>
      <c r="G825" s="9">
        <f>8-questionnaire!G825</f>
        <v>8</v>
      </c>
      <c r="H825" s="9">
        <f>8-questionnaire!H825</f>
        <v>8</v>
      </c>
      <c r="I825" s="9">
        <f>C825*10+D825*5+E825*1.66-(questionnaire!F825*1.66+questionnaire!G825*5+questionnaire!H825*10)</f>
        <v>0</v>
      </c>
    </row>
    <row r="826">
      <c r="A826" s="8" t="str">
        <f>questionnaire!A826</f>
        <v/>
      </c>
      <c r="B826" s="9" t="str">
        <f>questionnaire!B826</f>
        <v/>
      </c>
      <c r="C826" s="9" t="str">
        <f>questionnaire!C826</f>
        <v/>
      </c>
      <c r="D826" s="9" t="str">
        <f>questionnaire!D826</f>
        <v/>
      </c>
      <c r="E826" s="9" t="str">
        <f>questionnaire!E826</f>
        <v/>
      </c>
      <c r="F826" s="9">
        <f>8-questionnaire!F826</f>
        <v>8</v>
      </c>
      <c r="G826" s="9">
        <f>8-questionnaire!G826</f>
        <v>8</v>
      </c>
      <c r="H826" s="9">
        <f>8-questionnaire!H826</f>
        <v>8</v>
      </c>
      <c r="I826" s="9">
        <f>C826*10+D826*5+E826*1.66-(questionnaire!F826*1.66+questionnaire!G826*5+questionnaire!H826*10)</f>
        <v>0</v>
      </c>
    </row>
    <row r="827">
      <c r="A827" s="8" t="str">
        <f>questionnaire!A827</f>
        <v/>
      </c>
      <c r="B827" s="9" t="str">
        <f>questionnaire!B827</f>
        <v/>
      </c>
      <c r="C827" s="9" t="str">
        <f>questionnaire!C827</f>
        <v/>
      </c>
      <c r="D827" s="9" t="str">
        <f>questionnaire!D827</f>
        <v/>
      </c>
      <c r="E827" s="9" t="str">
        <f>questionnaire!E827</f>
        <v/>
      </c>
      <c r="F827" s="9">
        <f>8-questionnaire!F827</f>
        <v>8</v>
      </c>
      <c r="G827" s="9">
        <f>8-questionnaire!G827</f>
        <v>8</v>
      </c>
      <c r="H827" s="9">
        <f>8-questionnaire!H827</f>
        <v>8</v>
      </c>
      <c r="I827" s="9">
        <f>C827*10+D827*5+E827*1.66-(questionnaire!F827*1.66+questionnaire!G827*5+questionnaire!H827*10)</f>
        <v>0</v>
      </c>
    </row>
    <row r="828">
      <c r="A828" s="8" t="str">
        <f>questionnaire!A828</f>
        <v/>
      </c>
      <c r="B828" s="9" t="str">
        <f>questionnaire!B828</f>
        <v/>
      </c>
      <c r="C828" s="9" t="str">
        <f>questionnaire!C828</f>
        <v/>
      </c>
      <c r="D828" s="9" t="str">
        <f>questionnaire!D828</f>
        <v/>
      </c>
      <c r="E828" s="9" t="str">
        <f>questionnaire!E828</f>
        <v/>
      </c>
      <c r="F828" s="9">
        <f>8-questionnaire!F828</f>
        <v>8</v>
      </c>
      <c r="G828" s="9">
        <f>8-questionnaire!G828</f>
        <v>8</v>
      </c>
      <c r="H828" s="9">
        <f>8-questionnaire!H828</f>
        <v>8</v>
      </c>
      <c r="I828" s="9">
        <f>C828*10+D828*5+E828*1.66-(questionnaire!F828*1.66+questionnaire!G828*5+questionnaire!H828*10)</f>
        <v>0</v>
      </c>
    </row>
    <row r="829">
      <c r="A829" s="8" t="str">
        <f>questionnaire!A829</f>
        <v/>
      </c>
      <c r="B829" s="9" t="str">
        <f>questionnaire!B829</f>
        <v/>
      </c>
      <c r="C829" s="9" t="str">
        <f>questionnaire!C829</f>
        <v/>
      </c>
      <c r="D829" s="9" t="str">
        <f>questionnaire!D829</f>
        <v/>
      </c>
      <c r="E829" s="9" t="str">
        <f>questionnaire!E829</f>
        <v/>
      </c>
      <c r="F829" s="9">
        <f>8-questionnaire!F829</f>
        <v>8</v>
      </c>
      <c r="G829" s="9">
        <f>8-questionnaire!G829</f>
        <v>8</v>
      </c>
      <c r="H829" s="9">
        <f>8-questionnaire!H829</f>
        <v>8</v>
      </c>
      <c r="I829" s="9">
        <f>C829*10+D829*5+E829*1.66-(questionnaire!F829*1.66+questionnaire!G829*5+questionnaire!H829*10)</f>
        <v>0</v>
      </c>
    </row>
    <row r="830">
      <c r="A830" s="8" t="str">
        <f>questionnaire!A830</f>
        <v/>
      </c>
      <c r="B830" s="9" t="str">
        <f>questionnaire!B830</f>
        <v/>
      </c>
      <c r="C830" s="9" t="str">
        <f>questionnaire!C830</f>
        <v/>
      </c>
      <c r="D830" s="9" t="str">
        <f>questionnaire!D830</f>
        <v/>
      </c>
      <c r="E830" s="9" t="str">
        <f>questionnaire!E830</f>
        <v/>
      </c>
      <c r="F830" s="9">
        <f>8-questionnaire!F830</f>
        <v>8</v>
      </c>
      <c r="G830" s="9">
        <f>8-questionnaire!G830</f>
        <v>8</v>
      </c>
      <c r="H830" s="9">
        <f>8-questionnaire!H830</f>
        <v>8</v>
      </c>
      <c r="I830" s="9">
        <f>C830*10+D830*5+E830*1.66-(questionnaire!F830*1.66+questionnaire!G830*5+questionnaire!H830*10)</f>
        <v>0</v>
      </c>
    </row>
    <row r="831">
      <c r="A831" s="8" t="str">
        <f>questionnaire!A831</f>
        <v/>
      </c>
      <c r="B831" s="9" t="str">
        <f>questionnaire!B831</f>
        <v/>
      </c>
      <c r="C831" s="9" t="str">
        <f>questionnaire!C831</f>
        <v/>
      </c>
      <c r="D831" s="9" t="str">
        <f>questionnaire!D831</f>
        <v/>
      </c>
      <c r="E831" s="9" t="str">
        <f>questionnaire!E831</f>
        <v/>
      </c>
      <c r="F831" s="9">
        <f>8-questionnaire!F831</f>
        <v>8</v>
      </c>
      <c r="G831" s="9">
        <f>8-questionnaire!G831</f>
        <v>8</v>
      </c>
      <c r="H831" s="9">
        <f>8-questionnaire!H831</f>
        <v>8</v>
      </c>
      <c r="I831" s="9">
        <f>C831*10+D831*5+E831*1.66-(questionnaire!F831*1.66+questionnaire!G831*5+questionnaire!H831*10)</f>
        <v>0</v>
      </c>
    </row>
    <row r="832">
      <c r="A832" s="8" t="str">
        <f>questionnaire!A832</f>
        <v/>
      </c>
      <c r="B832" s="9" t="str">
        <f>questionnaire!B832</f>
        <v/>
      </c>
      <c r="C832" s="9" t="str">
        <f>questionnaire!C832</f>
        <v/>
      </c>
      <c r="D832" s="9" t="str">
        <f>questionnaire!D832</f>
        <v/>
      </c>
      <c r="E832" s="9" t="str">
        <f>questionnaire!E832</f>
        <v/>
      </c>
      <c r="F832" s="9">
        <f>8-questionnaire!F832</f>
        <v>8</v>
      </c>
      <c r="G832" s="9">
        <f>8-questionnaire!G832</f>
        <v>8</v>
      </c>
      <c r="H832" s="9">
        <f>8-questionnaire!H832</f>
        <v>8</v>
      </c>
      <c r="I832" s="9">
        <f>C832*10+D832*5+E832*1.66-(questionnaire!F832*1.66+questionnaire!G832*5+questionnaire!H832*10)</f>
        <v>0</v>
      </c>
    </row>
    <row r="833">
      <c r="A833" s="8" t="str">
        <f>questionnaire!A833</f>
        <v/>
      </c>
      <c r="B833" s="9" t="str">
        <f>questionnaire!B833</f>
        <v/>
      </c>
      <c r="C833" s="9" t="str">
        <f>questionnaire!C833</f>
        <v/>
      </c>
      <c r="D833" s="9" t="str">
        <f>questionnaire!D833</f>
        <v/>
      </c>
      <c r="E833" s="9" t="str">
        <f>questionnaire!E833</f>
        <v/>
      </c>
      <c r="F833" s="9">
        <f>8-questionnaire!F833</f>
        <v>8</v>
      </c>
      <c r="G833" s="9">
        <f>8-questionnaire!G833</f>
        <v>8</v>
      </c>
      <c r="H833" s="9">
        <f>8-questionnaire!H833</f>
        <v>8</v>
      </c>
      <c r="I833" s="9">
        <f>C833*10+D833*5+E833*1.66-(questionnaire!F833*1.66+questionnaire!G833*5+questionnaire!H833*10)</f>
        <v>0</v>
      </c>
    </row>
    <row r="834">
      <c r="A834" s="8" t="str">
        <f>questionnaire!A834</f>
        <v/>
      </c>
      <c r="B834" s="9" t="str">
        <f>questionnaire!B834</f>
        <v/>
      </c>
      <c r="C834" s="9" t="str">
        <f>questionnaire!C834</f>
        <v/>
      </c>
      <c r="D834" s="9" t="str">
        <f>questionnaire!D834</f>
        <v/>
      </c>
      <c r="E834" s="9" t="str">
        <f>questionnaire!E834</f>
        <v/>
      </c>
      <c r="F834" s="9">
        <f>8-questionnaire!F834</f>
        <v>8</v>
      </c>
      <c r="G834" s="9">
        <f>8-questionnaire!G834</f>
        <v>8</v>
      </c>
      <c r="H834" s="9">
        <f>8-questionnaire!H834</f>
        <v>8</v>
      </c>
      <c r="I834" s="9">
        <f>C834*10+D834*5+E834*1.66-(questionnaire!F834*1.66+questionnaire!G834*5+questionnaire!H834*10)</f>
        <v>0</v>
      </c>
    </row>
    <row r="835">
      <c r="A835" s="8" t="str">
        <f>questionnaire!A835</f>
        <v/>
      </c>
      <c r="B835" s="9" t="str">
        <f>questionnaire!B835</f>
        <v/>
      </c>
      <c r="C835" s="9" t="str">
        <f>questionnaire!C835</f>
        <v/>
      </c>
      <c r="D835" s="9" t="str">
        <f>questionnaire!D835</f>
        <v/>
      </c>
      <c r="E835" s="9" t="str">
        <f>questionnaire!E835</f>
        <v/>
      </c>
      <c r="F835" s="9">
        <f>8-questionnaire!F835</f>
        <v>8</v>
      </c>
      <c r="G835" s="9">
        <f>8-questionnaire!G835</f>
        <v>8</v>
      </c>
      <c r="H835" s="9">
        <f>8-questionnaire!H835</f>
        <v>8</v>
      </c>
      <c r="I835" s="9">
        <f>C835*10+D835*5+E835*1.66-(questionnaire!F835*1.66+questionnaire!G835*5+questionnaire!H835*10)</f>
        <v>0</v>
      </c>
    </row>
    <row r="836">
      <c r="A836" s="8" t="str">
        <f>questionnaire!A836</f>
        <v/>
      </c>
      <c r="B836" s="9" t="str">
        <f>questionnaire!B836</f>
        <v/>
      </c>
      <c r="C836" s="9" t="str">
        <f>questionnaire!C836</f>
        <v/>
      </c>
      <c r="D836" s="9" t="str">
        <f>questionnaire!D836</f>
        <v/>
      </c>
      <c r="E836" s="9" t="str">
        <f>questionnaire!E836</f>
        <v/>
      </c>
      <c r="F836" s="9">
        <f>8-questionnaire!F836</f>
        <v>8</v>
      </c>
      <c r="G836" s="9">
        <f>8-questionnaire!G836</f>
        <v>8</v>
      </c>
      <c r="H836" s="9">
        <f>8-questionnaire!H836</f>
        <v>8</v>
      </c>
      <c r="I836" s="9">
        <f>C836*10+D836*5+E836*1.66-(questionnaire!F836*1.66+questionnaire!G836*5+questionnaire!H836*10)</f>
        <v>0</v>
      </c>
    </row>
    <row r="837">
      <c r="A837" s="8" t="str">
        <f>questionnaire!A837</f>
        <v/>
      </c>
      <c r="B837" s="9" t="str">
        <f>questionnaire!B837</f>
        <v/>
      </c>
      <c r="C837" s="9" t="str">
        <f>questionnaire!C837</f>
        <v/>
      </c>
      <c r="D837" s="9" t="str">
        <f>questionnaire!D837</f>
        <v/>
      </c>
      <c r="E837" s="9" t="str">
        <f>questionnaire!E837</f>
        <v/>
      </c>
      <c r="F837" s="9">
        <f>8-questionnaire!F837</f>
        <v>8</v>
      </c>
      <c r="G837" s="9">
        <f>8-questionnaire!G837</f>
        <v>8</v>
      </c>
      <c r="H837" s="9">
        <f>8-questionnaire!H837</f>
        <v>8</v>
      </c>
      <c r="I837" s="9">
        <f>C837*10+D837*5+E837*1.66-(questionnaire!F837*1.66+questionnaire!G837*5+questionnaire!H837*10)</f>
        <v>0</v>
      </c>
    </row>
    <row r="838">
      <c r="A838" s="8" t="str">
        <f>questionnaire!A838</f>
        <v/>
      </c>
      <c r="B838" s="9" t="str">
        <f>questionnaire!B838</f>
        <v/>
      </c>
      <c r="C838" s="9" t="str">
        <f>questionnaire!C838</f>
        <v/>
      </c>
      <c r="D838" s="9" t="str">
        <f>questionnaire!D838</f>
        <v/>
      </c>
      <c r="E838" s="9" t="str">
        <f>questionnaire!E838</f>
        <v/>
      </c>
      <c r="F838" s="9">
        <f>8-questionnaire!F838</f>
        <v>8</v>
      </c>
      <c r="G838" s="9">
        <f>8-questionnaire!G838</f>
        <v>8</v>
      </c>
      <c r="H838" s="9">
        <f>8-questionnaire!H838</f>
        <v>8</v>
      </c>
      <c r="I838" s="9">
        <f>C838*10+D838*5+E838*1.66-(questionnaire!F838*1.66+questionnaire!G838*5+questionnaire!H838*10)</f>
        <v>0</v>
      </c>
    </row>
    <row r="839">
      <c r="A839" s="8" t="str">
        <f>questionnaire!A839</f>
        <v/>
      </c>
      <c r="B839" s="9" t="str">
        <f>questionnaire!B839</f>
        <v/>
      </c>
      <c r="C839" s="9" t="str">
        <f>questionnaire!C839</f>
        <v/>
      </c>
      <c r="D839" s="9" t="str">
        <f>questionnaire!D839</f>
        <v/>
      </c>
      <c r="E839" s="9" t="str">
        <f>questionnaire!E839</f>
        <v/>
      </c>
      <c r="F839" s="9">
        <f>8-questionnaire!F839</f>
        <v>8</v>
      </c>
      <c r="G839" s="9">
        <f>8-questionnaire!G839</f>
        <v>8</v>
      </c>
      <c r="H839" s="9">
        <f>8-questionnaire!H839</f>
        <v>8</v>
      </c>
      <c r="I839" s="9">
        <f>C839*10+D839*5+E839*1.66-(questionnaire!F839*1.66+questionnaire!G839*5+questionnaire!H839*10)</f>
        <v>0</v>
      </c>
    </row>
    <row r="840">
      <c r="A840" s="8" t="str">
        <f>questionnaire!A840</f>
        <v/>
      </c>
      <c r="B840" s="9" t="str">
        <f>questionnaire!B840</f>
        <v/>
      </c>
      <c r="C840" s="9" t="str">
        <f>questionnaire!C840</f>
        <v/>
      </c>
      <c r="D840" s="9" t="str">
        <f>questionnaire!D840</f>
        <v/>
      </c>
      <c r="E840" s="9" t="str">
        <f>questionnaire!E840</f>
        <v/>
      </c>
      <c r="F840" s="9">
        <f>8-questionnaire!F840</f>
        <v>8</v>
      </c>
      <c r="G840" s="9">
        <f>8-questionnaire!G840</f>
        <v>8</v>
      </c>
      <c r="H840" s="9">
        <f>8-questionnaire!H840</f>
        <v>8</v>
      </c>
      <c r="I840" s="9">
        <f>C840*10+D840*5+E840*1.66-(questionnaire!F840*1.66+questionnaire!G840*5+questionnaire!H840*10)</f>
        <v>0</v>
      </c>
    </row>
    <row r="841">
      <c r="A841" s="8" t="str">
        <f>questionnaire!A841</f>
        <v/>
      </c>
      <c r="B841" s="9" t="str">
        <f>questionnaire!B841</f>
        <v/>
      </c>
      <c r="C841" s="9" t="str">
        <f>questionnaire!C841</f>
        <v/>
      </c>
      <c r="D841" s="9" t="str">
        <f>questionnaire!D841</f>
        <v/>
      </c>
      <c r="E841" s="9" t="str">
        <f>questionnaire!E841</f>
        <v/>
      </c>
      <c r="F841" s="9">
        <f>8-questionnaire!F841</f>
        <v>8</v>
      </c>
      <c r="G841" s="9">
        <f>8-questionnaire!G841</f>
        <v>8</v>
      </c>
      <c r="H841" s="9">
        <f>8-questionnaire!H841</f>
        <v>8</v>
      </c>
      <c r="I841" s="9">
        <f>C841*10+D841*5+E841*1.66-(questionnaire!F841*1.66+questionnaire!G841*5+questionnaire!H841*10)</f>
        <v>0</v>
      </c>
    </row>
    <row r="842">
      <c r="A842" s="8" t="str">
        <f>questionnaire!A842</f>
        <v/>
      </c>
      <c r="B842" s="9" t="str">
        <f>questionnaire!B842</f>
        <v/>
      </c>
      <c r="C842" s="9" t="str">
        <f>questionnaire!C842</f>
        <v/>
      </c>
      <c r="D842" s="9" t="str">
        <f>questionnaire!D842</f>
        <v/>
      </c>
      <c r="E842" s="9" t="str">
        <f>questionnaire!E842</f>
        <v/>
      </c>
      <c r="F842" s="9">
        <f>8-questionnaire!F842</f>
        <v>8</v>
      </c>
      <c r="G842" s="9">
        <f>8-questionnaire!G842</f>
        <v>8</v>
      </c>
      <c r="H842" s="9">
        <f>8-questionnaire!H842</f>
        <v>8</v>
      </c>
      <c r="I842" s="9">
        <f>C842*10+D842*5+E842*1.66-(questionnaire!F842*1.66+questionnaire!G842*5+questionnaire!H842*10)</f>
        <v>0</v>
      </c>
    </row>
    <row r="843">
      <c r="A843" s="8" t="str">
        <f>questionnaire!A843</f>
        <v/>
      </c>
      <c r="B843" s="9" t="str">
        <f>questionnaire!B843</f>
        <v/>
      </c>
      <c r="C843" s="9" t="str">
        <f>questionnaire!C843</f>
        <v/>
      </c>
      <c r="D843" s="9" t="str">
        <f>questionnaire!D843</f>
        <v/>
      </c>
      <c r="E843" s="9" t="str">
        <f>questionnaire!E843</f>
        <v/>
      </c>
      <c r="F843" s="9">
        <f>8-questionnaire!F843</f>
        <v>8</v>
      </c>
      <c r="G843" s="9">
        <f>8-questionnaire!G843</f>
        <v>8</v>
      </c>
      <c r="H843" s="9">
        <f>8-questionnaire!H843</f>
        <v>8</v>
      </c>
      <c r="I843" s="9">
        <f>C843*10+D843*5+E843*1.66-(questionnaire!F843*1.66+questionnaire!G843*5+questionnaire!H843*10)</f>
        <v>0</v>
      </c>
    </row>
    <row r="844">
      <c r="A844" s="8" t="str">
        <f>questionnaire!A844</f>
        <v/>
      </c>
      <c r="B844" s="9" t="str">
        <f>questionnaire!B844</f>
        <v/>
      </c>
      <c r="C844" s="9" t="str">
        <f>questionnaire!C844</f>
        <v/>
      </c>
      <c r="D844" s="9" t="str">
        <f>questionnaire!D844</f>
        <v/>
      </c>
      <c r="E844" s="9" t="str">
        <f>questionnaire!E844</f>
        <v/>
      </c>
      <c r="F844" s="9">
        <f>8-questionnaire!F844</f>
        <v>8</v>
      </c>
      <c r="G844" s="9">
        <f>8-questionnaire!G844</f>
        <v>8</v>
      </c>
      <c r="H844" s="9">
        <f>8-questionnaire!H844</f>
        <v>8</v>
      </c>
      <c r="I844" s="9">
        <f>C844*10+D844*5+E844*1.66-(questionnaire!F844*1.66+questionnaire!G844*5+questionnaire!H844*10)</f>
        <v>0</v>
      </c>
    </row>
    <row r="845">
      <c r="A845" s="8" t="str">
        <f>questionnaire!A845</f>
        <v/>
      </c>
      <c r="B845" s="9" t="str">
        <f>questionnaire!B845</f>
        <v/>
      </c>
      <c r="C845" s="9" t="str">
        <f>questionnaire!C845</f>
        <v/>
      </c>
      <c r="D845" s="9" t="str">
        <f>questionnaire!D845</f>
        <v/>
      </c>
      <c r="E845" s="9" t="str">
        <f>questionnaire!E845</f>
        <v/>
      </c>
      <c r="F845" s="9">
        <f>8-questionnaire!F845</f>
        <v>8</v>
      </c>
      <c r="G845" s="9">
        <f>8-questionnaire!G845</f>
        <v>8</v>
      </c>
      <c r="H845" s="9">
        <f>8-questionnaire!H845</f>
        <v>8</v>
      </c>
      <c r="I845" s="9">
        <f>C845*10+D845*5+E845*1.66-(questionnaire!F845*1.66+questionnaire!G845*5+questionnaire!H845*10)</f>
        <v>0</v>
      </c>
    </row>
    <row r="846">
      <c r="A846" s="8" t="str">
        <f>questionnaire!A846</f>
        <v/>
      </c>
      <c r="B846" s="9" t="str">
        <f>questionnaire!B846</f>
        <v/>
      </c>
      <c r="C846" s="9" t="str">
        <f>questionnaire!C846</f>
        <v/>
      </c>
      <c r="D846" s="9" t="str">
        <f>questionnaire!D846</f>
        <v/>
      </c>
      <c r="E846" s="9" t="str">
        <f>questionnaire!E846</f>
        <v/>
      </c>
      <c r="F846" s="9">
        <f>8-questionnaire!F846</f>
        <v>8</v>
      </c>
      <c r="G846" s="9">
        <f>8-questionnaire!G846</f>
        <v>8</v>
      </c>
      <c r="H846" s="9">
        <f>8-questionnaire!H846</f>
        <v>8</v>
      </c>
      <c r="I846" s="9">
        <f>C846*10+D846*5+E846*1.66-(questionnaire!F846*1.66+questionnaire!G846*5+questionnaire!H846*10)</f>
        <v>0</v>
      </c>
    </row>
    <row r="847">
      <c r="A847" s="8" t="str">
        <f>questionnaire!A847</f>
        <v/>
      </c>
      <c r="B847" s="9" t="str">
        <f>questionnaire!B847</f>
        <v/>
      </c>
      <c r="C847" s="9" t="str">
        <f>questionnaire!C847</f>
        <v/>
      </c>
      <c r="D847" s="9" t="str">
        <f>questionnaire!D847</f>
        <v/>
      </c>
      <c r="E847" s="9" t="str">
        <f>questionnaire!E847</f>
        <v/>
      </c>
      <c r="F847" s="9">
        <f>8-questionnaire!F847</f>
        <v>8</v>
      </c>
      <c r="G847" s="9">
        <f>8-questionnaire!G847</f>
        <v>8</v>
      </c>
      <c r="H847" s="9">
        <f>8-questionnaire!H847</f>
        <v>8</v>
      </c>
      <c r="I847" s="9">
        <f>C847*10+D847*5+E847*1.66-(questionnaire!F847*1.66+questionnaire!G847*5+questionnaire!H847*10)</f>
        <v>0</v>
      </c>
    </row>
    <row r="848">
      <c r="A848" s="8" t="str">
        <f>questionnaire!A848</f>
        <v/>
      </c>
      <c r="B848" s="9" t="str">
        <f>questionnaire!B848</f>
        <v/>
      </c>
      <c r="C848" s="9" t="str">
        <f>questionnaire!C848</f>
        <v/>
      </c>
      <c r="D848" s="9" t="str">
        <f>questionnaire!D848</f>
        <v/>
      </c>
      <c r="E848" s="9" t="str">
        <f>questionnaire!E848</f>
        <v/>
      </c>
      <c r="F848" s="9">
        <f>8-questionnaire!F848</f>
        <v>8</v>
      </c>
      <c r="G848" s="9">
        <f>8-questionnaire!G848</f>
        <v>8</v>
      </c>
      <c r="H848" s="9">
        <f>8-questionnaire!H848</f>
        <v>8</v>
      </c>
      <c r="I848" s="9">
        <f>C848*10+D848*5+E848*1.66-(questionnaire!F848*1.66+questionnaire!G848*5+questionnaire!H848*10)</f>
        <v>0</v>
      </c>
    </row>
    <row r="849">
      <c r="A849" s="8" t="str">
        <f>questionnaire!A849</f>
        <v/>
      </c>
      <c r="B849" s="9" t="str">
        <f>questionnaire!B849</f>
        <v/>
      </c>
      <c r="C849" s="9" t="str">
        <f>questionnaire!C849</f>
        <v/>
      </c>
      <c r="D849" s="9" t="str">
        <f>questionnaire!D849</f>
        <v/>
      </c>
      <c r="E849" s="9" t="str">
        <f>questionnaire!E849</f>
        <v/>
      </c>
      <c r="F849" s="9">
        <f>8-questionnaire!F849</f>
        <v>8</v>
      </c>
      <c r="G849" s="9">
        <f>8-questionnaire!G849</f>
        <v>8</v>
      </c>
      <c r="H849" s="9">
        <f>8-questionnaire!H849</f>
        <v>8</v>
      </c>
      <c r="I849" s="9">
        <f>C849*10+D849*5+E849*1.66-(questionnaire!F849*1.66+questionnaire!G849*5+questionnaire!H849*10)</f>
        <v>0</v>
      </c>
    </row>
    <row r="850">
      <c r="A850" s="8" t="str">
        <f>questionnaire!A850</f>
        <v/>
      </c>
      <c r="B850" s="9" t="str">
        <f>questionnaire!B850</f>
        <v/>
      </c>
      <c r="C850" s="9" t="str">
        <f>questionnaire!C850</f>
        <v/>
      </c>
      <c r="D850" s="9" t="str">
        <f>questionnaire!D850</f>
        <v/>
      </c>
      <c r="E850" s="9" t="str">
        <f>questionnaire!E850</f>
        <v/>
      </c>
      <c r="F850" s="9">
        <f>8-questionnaire!F850</f>
        <v>8</v>
      </c>
      <c r="G850" s="9">
        <f>8-questionnaire!G850</f>
        <v>8</v>
      </c>
      <c r="H850" s="9">
        <f>8-questionnaire!H850</f>
        <v>8</v>
      </c>
      <c r="I850" s="9">
        <f>C850*10+D850*5+E850*1.66-(questionnaire!F850*1.66+questionnaire!G850*5+questionnaire!H850*10)</f>
        <v>0</v>
      </c>
    </row>
    <row r="851">
      <c r="A851" s="8" t="str">
        <f>questionnaire!A851</f>
        <v/>
      </c>
      <c r="B851" s="9" t="str">
        <f>questionnaire!B851</f>
        <v/>
      </c>
      <c r="C851" s="9" t="str">
        <f>questionnaire!C851</f>
        <v/>
      </c>
      <c r="D851" s="9" t="str">
        <f>questionnaire!D851</f>
        <v/>
      </c>
      <c r="E851" s="9" t="str">
        <f>questionnaire!E851</f>
        <v/>
      </c>
      <c r="F851" s="9">
        <f>8-questionnaire!F851</f>
        <v>8</v>
      </c>
      <c r="G851" s="9">
        <f>8-questionnaire!G851</f>
        <v>8</v>
      </c>
      <c r="H851" s="9">
        <f>8-questionnaire!H851</f>
        <v>8</v>
      </c>
      <c r="I851" s="9">
        <f>C851*10+D851*5+E851*1.66-(questionnaire!F851*1.66+questionnaire!G851*5+questionnaire!H851*10)</f>
        <v>0</v>
      </c>
    </row>
    <row r="852">
      <c r="A852" s="8" t="str">
        <f>questionnaire!A852</f>
        <v/>
      </c>
      <c r="B852" s="9" t="str">
        <f>questionnaire!B852</f>
        <v/>
      </c>
      <c r="C852" s="9" t="str">
        <f>questionnaire!C852</f>
        <v/>
      </c>
      <c r="D852" s="9" t="str">
        <f>questionnaire!D852</f>
        <v/>
      </c>
      <c r="E852" s="9" t="str">
        <f>questionnaire!E852</f>
        <v/>
      </c>
      <c r="F852" s="9">
        <f>8-questionnaire!F852</f>
        <v>8</v>
      </c>
      <c r="G852" s="9">
        <f>8-questionnaire!G852</f>
        <v>8</v>
      </c>
      <c r="H852" s="9">
        <f>8-questionnaire!H852</f>
        <v>8</v>
      </c>
      <c r="I852" s="9">
        <f>C852*10+D852*5+E852*1.66-(questionnaire!F852*1.66+questionnaire!G852*5+questionnaire!H852*10)</f>
        <v>0</v>
      </c>
    </row>
    <row r="853">
      <c r="A853" s="8" t="str">
        <f>questionnaire!A853</f>
        <v/>
      </c>
      <c r="B853" s="9" t="str">
        <f>questionnaire!B853</f>
        <v/>
      </c>
      <c r="C853" s="9" t="str">
        <f>questionnaire!C853</f>
        <v/>
      </c>
      <c r="D853" s="9" t="str">
        <f>questionnaire!D853</f>
        <v/>
      </c>
      <c r="E853" s="9" t="str">
        <f>questionnaire!E853</f>
        <v/>
      </c>
      <c r="F853" s="9">
        <f>8-questionnaire!F853</f>
        <v>8</v>
      </c>
      <c r="G853" s="9">
        <f>8-questionnaire!G853</f>
        <v>8</v>
      </c>
      <c r="H853" s="9">
        <f>8-questionnaire!H853</f>
        <v>8</v>
      </c>
      <c r="I853" s="9">
        <f>C853*10+D853*5+E853*1.66-(questionnaire!F853*1.66+questionnaire!G853*5+questionnaire!H853*10)</f>
        <v>0</v>
      </c>
    </row>
    <row r="854">
      <c r="A854" s="8" t="str">
        <f>questionnaire!A854</f>
        <v/>
      </c>
      <c r="B854" s="9" t="str">
        <f>questionnaire!B854</f>
        <v/>
      </c>
      <c r="C854" s="9" t="str">
        <f>questionnaire!C854</f>
        <v/>
      </c>
      <c r="D854" s="9" t="str">
        <f>questionnaire!D854</f>
        <v/>
      </c>
      <c r="E854" s="9" t="str">
        <f>questionnaire!E854</f>
        <v/>
      </c>
      <c r="F854" s="9">
        <f>8-questionnaire!F854</f>
        <v>8</v>
      </c>
      <c r="G854" s="9">
        <f>8-questionnaire!G854</f>
        <v>8</v>
      </c>
      <c r="H854" s="9">
        <f>8-questionnaire!H854</f>
        <v>8</v>
      </c>
      <c r="I854" s="9">
        <f>C854*10+D854*5+E854*1.66-(questionnaire!F854*1.66+questionnaire!G854*5+questionnaire!H854*10)</f>
        <v>0</v>
      </c>
    </row>
    <row r="855">
      <c r="A855" s="8" t="str">
        <f>questionnaire!A855</f>
        <v/>
      </c>
      <c r="B855" s="9" t="str">
        <f>questionnaire!B855</f>
        <v/>
      </c>
      <c r="C855" s="9" t="str">
        <f>questionnaire!C855</f>
        <v/>
      </c>
      <c r="D855" s="9" t="str">
        <f>questionnaire!D855</f>
        <v/>
      </c>
      <c r="E855" s="9" t="str">
        <f>questionnaire!E855</f>
        <v/>
      </c>
      <c r="F855" s="9">
        <f>8-questionnaire!F855</f>
        <v>8</v>
      </c>
      <c r="G855" s="9">
        <f>8-questionnaire!G855</f>
        <v>8</v>
      </c>
      <c r="H855" s="9">
        <f>8-questionnaire!H855</f>
        <v>8</v>
      </c>
      <c r="I855" s="9">
        <f>C855*10+D855*5+E855*1.66-(questionnaire!F855*1.66+questionnaire!G855*5+questionnaire!H855*10)</f>
        <v>0</v>
      </c>
    </row>
    <row r="856">
      <c r="A856" s="8" t="str">
        <f>questionnaire!A856</f>
        <v/>
      </c>
      <c r="B856" s="9" t="str">
        <f>questionnaire!B856</f>
        <v/>
      </c>
      <c r="C856" s="9" t="str">
        <f>questionnaire!C856</f>
        <v/>
      </c>
      <c r="D856" s="9" t="str">
        <f>questionnaire!D856</f>
        <v/>
      </c>
      <c r="E856" s="9" t="str">
        <f>questionnaire!E856</f>
        <v/>
      </c>
      <c r="F856" s="9">
        <f>8-questionnaire!F856</f>
        <v>8</v>
      </c>
      <c r="G856" s="9">
        <f>8-questionnaire!G856</f>
        <v>8</v>
      </c>
      <c r="H856" s="9">
        <f>8-questionnaire!H856</f>
        <v>8</v>
      </c>
      <c r="I856" s="9">
        <f>C856*10+D856*5+E856*1.66-(questionnaire!F856*1.66+questionnaire!G856*5+questionnaire!H856*10)</f>
        <v>0</v>
      </c>
    </row>
    <row r="857">
      <c r="A857" s="8" t="str">
        <f>questionnaire!A857</f>
        <v/>
      </c>
      <c r="B857" s="9" t="str">
        <f>questionnaire!B857</f>
        <v/>
      </c>
      <c r="C857" s="9" t="str">
        <f>questionnaire!C857</f>
        <v/>
      </c>
      <c r="D857" s="9" t="str">
        <f>questionnaire!D857</f>
        <v/>
      </c>
      <c r="E857" s="9" t="str">
        <f>questionnaire!E857</f>
        <v/>
      </c>
      <c r="F857" s="9">
        <f>8-questionnaire!F857</f>
        <v>8</v>
      </c>
      <c r="G857" s="9">
        <f>8-questionnaire!G857</f>
        <v>8</v>
      </c>
      <c r="H857" s="9">
        <f>8-questionnaire!H857</f>
        <v>8</v>
      </c>
      <c r="I857" s="9">
        <f>C857*10+D857*5+E857*1.66-(questionnaire!F857*1.66+questionnaire!G857*5+questionnaire!H857*10)</f>
        <v>0</v>
      </c>
    </row>
    <row r="858">
      <c r="A858" s="8" t="str">
        <f>questionnaire!A858</f>
        <v/>
      </c>
      <c r="B858" s="9" t="str">
        <f>questionnaire!B858</f>
        <v/>
      </c>
      <c r="C858" s="9" t="str">
        <f>questionnaire!C858</f>
        <v/>
      </c>
      <c r="D858" s="9" t="str">
        <f>questionnaire!D858</f>
        <v/>
      </c>
      <c r="E858" s="9" t="str">
        <f>questionnaire!E858</f>
        <v/>
      </c>
      <c r="F858" s="9">
        <f>8-questionnaire!F858</f>
        <v>8</v>
      </c>
      <c r="G858" s="9">
        <f>8-questionnaire!G858</f>
        <v>8</v>
      </c>
      <c r="H858" s="9">
        <f>8-questionnaire!H858</f>
        <v>8</v>
      </c>
      <c r="I858" s="9">
        <f>C858*10+D858*5+E858*1.66-(questionnaire!F858*1.66+questionnaire!G858*5+questionnaire!H858*10)</f>
        <v>0</v>
      </c>
    </row>
    <row r="859">
      <c r="A859" s="8" t="str">
        <f>questionnaire!A859</f>
        <v/>
      </c>
      <c r="B859" s="9" t="str">
        <f>questionnaire!B859</f>
        <v/>
      </c>
      <c r="C859" s="9" t="str">
        <f>questionnaire!C859</f>
        <v/>
      </c>
      <c r="D859" s="9" t="str">
        <f>questionnaire!D859</f>
        <v/>
      </c>
      <c r="E859" s="9" t="str">
        <f>questionnaire!E859</f>
        <v/>
      </c>
      <c r="F859" s="9">
        <f>8-questionnaire!F859</f>
        <v>8</v>
      </c>
      <c r="G859" s="9">
        <f>8-questionnaire!G859</f>
        <v>8</v>
      </c>
      <c r="H859" s="9">
        <f>8-questionnaire!H859</f>
        <v>8</v>
      </c>
      <c r="I859" s="9">
        <f>C859*10+D859*5+E859*1.66-(questionnaire!F859*1.66+questionnaire!G859*5+questionnaire!H859*10)</f>
        <v>0</v>
      </c>
    </row>
    <row r="860">
      <c r="A860" s="8" t="str">
        <f>questionnaire!A860</f>
        <v/>
      </c>
      <c r="B860" s="9" t="str">
        <f>questionnaire!B860</f>
        <v/>
      </c>
      <c r="C860" s="9" t="str">
        <f>questionnaire!C860</f>
        <v/>
      </c>
      <c r="D860" s="9" t="str">
        <f>questionnaire!D860</f>
        <v/>
      </c>
      <c r="E860" s="9" t="str">
        <f>questionnaire!E860</f>
        <v/>
      </c>
      <c r="F860" s="9">
        <f>8-questionnaire!F860</f>
        <v>8</v>
      </c>
      <c r="G860" s="9">
        <f>8-questionnaire!G860</f>
        <v>8</v>
      </c>
      <c r="H860" s="9">
        <f>8-questionnaire!H860</f>
        <v>8</v>
      </c>
      <c r="I860" s="9">
        <f>C860*10+D860*5+E860*1.66-(questionnaire!F860*1.66+questionnaire!G860*5+questionnaire!H860*10)</f>
        <v>0</v>
      </c>
    </row>
    <row r="861">
      <c r="A861" s="8" t="str">
        <f>questionnaire!A861</f>
        <v/>
      </c>
      <c r="B861" s="9" t="str">
        <f>questionnaire!B861</f>
        <v/>
      </c>
      <c r="C861" s="9" t="str">
        <f>questionnaire!C861</f>
        <v/>
      </c>
      <c r="D861" s="9" t="str">
        <f>questionnaire!D861</f>
        <v/>
      </c>
      <c r="E861" s="9" t="str">
        <f>questionnaire!E861</f>
        <v/>
      </c>
      <c r="F861" s="9">
        <f>8-questionnaire!F861</f>
        <v>8</v>
      </c>
      <c r="G861" s="9">
        <f>8-questionnaire!G861</f>
        <v>8</v>
      </c>
      <c r="H861" s="9">
        <f>8-questionnaire!H861</f>
        <v>8</v>
      </c>
      <c r="I861" s="9">
        <f>C861*10+D861*5+E861*1.66-(questionnaire!F861*1.66+questionnaire!G861*5+questionnaire!H861*10)</f>
        <v>0</v>
      </c>
    </row>
    <row r="862">
      <c r="A862" s="8" t="str">
        <f>questionnaire!A862</f>
        <v/>
      </c>
      <c r="B862" s="9" t="str">
        <f>questionnaire!B862</f>
        <v/>
      </c>
      <c r="C862" s="9" t="str">
        <f>questionnaire!C862</f>
        <v/>
      </c>
      <c r="D862" s="9" t="str">
        <f>questionnaire!D862</f>
        <v/>
      </c>
      <c r="E862" s="9" t="str">
        <f>questionnaire!E862</f>
        <v/>
      </c>
      <c r="F862" s="9">
        <f>8-questionnaire!F862</f>
        <v>8</v>
      </c>
      <c r="G862" s="9">
        <f>8-questionnaire!G862</f>
        <v>8</v>
      </c>
      <c r="H862" s="9">
        <f>8-questionnaire!H862</f>
        <v>8</v>
      </c>
      <c r="I862" s="9">
        <f>C862*10+D862*5+E862*1.66-(questionnaire!F862*1.66+questionnaire!G862*5+questionnaire!H862*10)</f>
        <v>0</v>
      </c>
    </row>
    <row r="863">
      <c r="A863" s="8" t="str">
        <f>questionnaire!A863</f>
        <v/>
      </c>
      <c r="B863" s="9" t="str">
        <f>questionnaire!B863</f>
        <v/>
      </c>
      <c r="C863" s="9" t="str">
        <f>questionnaire!C863</f>
        <v/>
      </c>
      <c r="D863" s="9" t="str">
        <f>questionnaire!D863</f>
        <v/>
      </c>
      <c r="E863" s="9" t="str">
        <f>questionnaire!E863</f>
        <v/>
      </c>
      <c r="F863" s="9">
        <f>8-questionnaire!F863</f>
        <v>8</v>
      </c>
      <c r="G863" s="9">
        <f>8-questionnaire!G863</f>
        <v>8</v>
      </c>
      <c r="H863" s="9">
        <f>8-questionnaire!H863</f>
        <v>8</v>
      </c>
      <c r="I863" s="9">
        <f>C863*10+D863*5+E863*1.66-(questionnaire!F863*1.66+questionnaire!G863*5+questionnaire!H863*10)</f>
        <v>0</v>
      </c>
    </row>
    <row r="864">
      <c r="A864" s="8" t="str">
        <f>questionnaire!A864</f>
        <v/>
      </c>
      <c r="B864" s="9" t="str">
        <f>questionnaire!B864</f>
        <v/>
      </c>
      <c r="C864" s="9" t="str">
        <f>questionnaire!C864</f>
        <v/>
      </c>
      <c r="D864" s="9" t="str">
        <f>questionnaire!D864</f>
        <v/>
      </c>
      <c r="E864" s="9" t="str">
        <f>questionnaire!E864</f>
        <v/>
      </c>
      <c r="F864" s="9">
        <f>8-questionnaire!F864</f>
        <v>8</v>
      </c>
      <c r="G864" s="9">
        <f>8-questionnaire!G864</f>
        <v>8</v>
      </c>
      <c r="H864" s="9">
        <f>8-questionnaire!H864</f>
        <v>8</v>
      </c>
      <c r="I864" s="9">
        <f>C864*10+D864*5+E864*1.66-(questionnaire!F864*1.66+questionnaire!G864*5+questionnaire!H864*10)</f>
        <v>0</v>
      </c>
    </row>
    <row r="865">
      <c r="A865" s="8" t="str">
        <f>questionnaire!A865</f>
        <v/>
      </c>
      <c r="B865" s="9" t="str">
        <f>questionnaire!B865</f>
        <v/>
      </c>
      <c r="C865" s="9" t="str">
        <f>questionnaire!C865</f>
        <v/>
      </c>
      <c r="D865" s="9" t="str">
        <f>questionnaire!D865</f>
        <v/>
      </c>
      <c r="E865" s="9" t="str">
        <f>questionnaire!E865</f>
        <v/>
      </c>
      <c r="F865" s="9">
        <f>8-questionnaire!F865</f>
        <v>8</v>
      </c>
      <c r="G865" s="9">
        <f>8-questionnaire!G865</f>
        <v>8</v>
      </c>
      <c r="H865" s="9">
        <f>8-questionnaire!H865</f>
        <v>8</v>
      </c>
      <c r="I865" s="9">
        <f>C865*10+D865*5+E865*1.66-(questionnaire!F865*1.66+questionnaire!G865*5+questionnaire!H865*10)</f>
        <v>0</v>
      </c>
    </row>
    <row r="866">
      <c r="A866" s="8" t="str">
        <f>questionnaire!A866</f>
        <v/>
      </c>
      <c r="B866" s="9" t="str">
        <f>questionnaire!B866</f>
        <v/>
      </c>
      <c r="C866" s="9" t="str">
        <f>questionnaire!C866</f>
        <v/>
      </c>
      <c r="D866" s="9" t="str">
        <f>questionnaire!D866</f>
        <v/>
      </c>
      <c r="E866" s="9" t="str">
        <f>questionnaire!E866</f>
        <v/>
      </c>
      <c r="F866" s="9">
        <f>8-questionnaire!F866</f>
        <v>8</v>
      </c>
      <c r="G866" s="9">
        <f>8-questionnaire!G866</f>
        <v>8</v>
      </c>
      <c r="H866" s="9">
        <f>8-questionnaire!H866</f>
        <v>8</v>
      </c>
      <c r="I866" s="9">
        <f>C866*10+D866*5+E866*1.66-(questionnaire!F866*1.66+questionnaire!G866*5+questionnaire!H866*10)</f>
        <v>0</v>
      </c>
    </row>
    <row r="867">
      <c r="A867" s="8" t="str">
        <f>questionnaire!A867</f>
        <v/>
      </c>
      <c r="B867" s="9" t="str">
        <f>questionnaire!B867</f>
        <v/>
      </c>
      <c r="C867" s="9" t="str">
        <f>questionnaire!C867</f>
        <v/>
      </c>
      <c r="D867" s="9" t="str">
        <f>questionnaire!D867</f>
        <v/>
      </c>
      <c r="E867" s="9" t="str">
        <f>questionnaire!E867</f>
        <v/>
      </c>
      <c r="F867" s="9">
        <f>8-questionnaire!F867</f>
        <v>8</v>
      </c>
      <c r="G867" s="9">
        <f>8-questionnaire!G867</f>
        <v>8</v>
      </c>
      <c r="H867" s="9">
        <f>8-questionnaire!H867</f>
        <v>8</v>
      </c>
      <c r="I867" s="9">
        <f>C867*10+D867*5+E867*1.66-(questionnaire!F867*1.66+questionnaire!G867*5+questionnaire!H867*10)</f>
        <v>0</v>
      </c>
    </row>
    <row r="868">
      <c r="A868" s="8" t="str">
        <f>questionnaire!A868</f>
        <v/>
      </c>
      <c r="B868" s="9" t="str">
        <f>questionnaire!B868</f>
        <v/>
      </c>
      <c r="C868" s="9" t="str">
        <f>questionnaire!C868</f>
        <v/>
      </c>
      <c r="D868" s="9" t="str">
        <f>questionnaire!D868</f>
        <v/>
      </c>
      <c r="E868" s="9" t="str">
        <f>questionnaire!E868</f>
        <v/>
      </c>
      <c r="F868" s="9">
        <f>8-questionnaire!F868</f>
        <v>8</v>
      </c>
      <c r="G868" s="9">
        <f>8-questionnaire!G868</f>
        <v>8</v>
      </c>
      <c r="H868" s="9">
        <f>8-questionnaire!H868</f>
        <v>8</v>
      </c>
      <c r="I868" s="9">
        <f>C868*10+D868*5+E868*1.66-(questionnaire!F868*1.66+questionnaire!G868*5+questionnaire!H868*10)</f>
        <v>0</v>
      </c>
    </row>
    <row r="869">
      <c r="A869" s="8" t="str">
        <f>questionnaire!A869</f>
        <v/>
      </c>
      <c r="B869" s="9" t="str">
        <f>questionnaire!B869</f>
        <v/>
      </c>
      <c r="C869" s="9" t="str">
        <f>questionnaire!C869</f>
        <v/>
      </c>
      <c r="D869" s="9" t="str">
        <f>questionnaire!D869</f>
        <v/>
      </c>
      <c r="E869" s="9" t="str">
        <f>questionnaire!E869</f>
        <v/>
      </c>
      <c r="F869" s="9">
        <f>8-questionnaire!F869</f>
        <v>8</v>
      </c>
      <c r="G869" s="9">
        <f>8-questionnaire!G869</f>
        <v>8</v>
      </c>
      <c r="H869" s="9">
        <f>8-questionnaire!H869</f>
        <v>8</v>
      </c>
      <c r="I869" s="9">
        <f>C869*10+D869*5+E869*1.66-(questionnaire!F869*1.66+questionnaire!G869*5+questionnaire!H869*10)</f>
        <v>0</v>
      </c>
    </row>
    <row r="870">
      <c r="A870" s="8" t="str">
        <f>questionnaire!A870</f>
        <v/>
      </c>
      <c r="B870" s="9" t="str">
        <f>questionnaire!B870</f>
        <v/>
      </c>
      <c r="C870" s="9" t="str">
        <f>questionnaire!C870</f>
        <v/>
      </c>
      <c r="D870" s="9" t="str">
        <f>questionnaire!D870</f>
        <v/>
      </c>
      <c r="E870" s="9" t="str">
        <f>questionnaire!E870</f>
        <v/>
      </c>
      <c r="F870" s="9">
        <f>8-questionnaire!F870</f>
        <v>8</v>
      </c>
      <c r="G870" s="9">
        <f>8-questionnaire!G870</f>
        <v>8</v>
      </c>
      <c r="H870" s="9">
        <f>8-questionnaire!H870</f>
        <v>8</v>
      </c>
      <c r="I870" s="9">
        <f>C870*10+D870*5+E870*1.66-(questionnaire!F870*1.66+questionnaire!G870*5+questionnaire!H870*10)</f>
        <v>0</v>
      </c>
    </row>
    <row r="871">
      <c r="A871" s="8" t="str">
        <f>questionnaire!A871</f>
        <v/>
      </c>
      <c r="B871" s="9" t="str">
        <f>questionnaire!B871</f>
        <v/>
      </c>
      <c r="C871" s="9" t="str">
        <f>questionnaire!C871</f>
        <v/>
      </c>
      <c r="D871" s="9" t="str">
        <f>questionnaire!D871</f>
        <v/>
      </c>
      <c r="E871" s="9" t="str">
        <f>questionnaire!E871</f>
        <v/>
      </c>
      <c r="F871" s="9">
        <f>8-questionnaire!F871</f>
        <v>8</v>
      </c>
      <c r="G871" s="9">
        <f>8-questionnaire!G871</f>
        <v>8</v>
      </c>
      <c r="H871" s="9">
        <f>8-questionnaire!H871</f>
        <v>8</v>
      </c>
      <c r="I871" s="9">
        <f>C871*10+D871*5+E871*1.66-(questionnaire!F871*1.66+questionnaire!G871*5+questionnaire!H871*10)</f>
        <v>0</v>
      </c>
    </row>
    <row r="872">
      <c r="A872" s="8" t="str">
        <f>questionnaire!A872</f>
        <v/>
      </c>
      <c r="B872" s="9" t="str">
        <f>questionnaire!B872</f>
        <v/>
      </c>
      <c r="C872" s="9" t="str">
        <f>questionnaire!C872</f>
        <v/>
      </c>
      <c r="D872" s="9" t="str">
        <f>questionnaire!D872</f>
        <v/>
      </c>
      <c r="E872" s="9" t="str">
        <f>questionnaire!E872</f>
        <v/>
      </c>
      <c r="F872" s="9">
        <f>8-questionnaire!F872</f>
        <v>8</v>
      </c>
      <c r="G872" s="9">
        <f>8-questionnaire!G872</f>
        <v>8</v>
      </c>
      <c r="H872" s="9">
        <f>8-questionnaire!H872</f>
        <v>8</v>
      </c>
      <c r="I872" s="9">
        <f>C872*10+D872*5+E872*1.66-(questionnaire!F872*1.66+questionnaire!G872*5+questionnaire!H872*10)</f>
        <v>0</v>
      </c>
    </row>
    <row r="873">
      <c r="A873" s="8" t="str">
        <f>questionnaire!A873</f>
        <v/>
      </c>
      <c r="B873" s="9" t="str">
        <f>questionnaire!B873</f>
        <v/>
      </c>
      <c r="C873" s="9" t="str">
        <f>questionnaire!C873</f>
        <v/>
      </c>
      <c r="D873" s="9" t="str">
        <f>questionnaire!D873</f>
        <v/>
      </c>
      <c r="E873" s="9" t="str">
        <f>questionnaire!E873</f>
        <v/>
      </c>
      <c r="F873" s="9">
        <f>8-questionnaire!F873</f>
        <v>8</v>
      </c>
      <c r="G873" s="9">
        <f>8-questionnaire!G873</f>
        <v>8</v>
      </c>
      <c r="H873" s="9">
        <f>8-questionnaire!H873</f>
        <v>8</v>
      </c>
      <c r="I873" s="9">
        <f>C873*10+D873*5+E873*1.66-(questionnaire!F873*1.66+questionnaire!G873*5+questionnaire!H873*10)</f>
        <v>0</v>
      </c>
    </row>
    <row r="874">
      <c r="A874" s="8" t="str">
        <f>questionnaire!A874</f>
        <v/>
      </c>
      <c r="B874" s="9" t="str">
        <f>questionnaire!B874</f>
        <v/>
      </c>
      <c r="C874" s="9" t="str">
        <f>questionnaire!C874</f>
        <v/>
      </c>
      <c r="D874" s="9" t="str">
        <f>questionnaire!D874</f>
        <v/>
      </c>
      <c r="E874" s="9" t="str">
        <f>questionnaire!E874</f>
        <v/>
      </c>
      <c r="F874" s="9">
        <f>8-questionnaire!F874</f>
        <v>8</v>
      </c>
      <c r="G874" s="9">
        <f>8-questionnaire!G874</f>
        <v>8</v>
      </c>
      <c r="H874" s="9">
        <f>8-questionnaire!H874</f>
        <v>8</v>
      </c>
      <c r="I874" s="9">
        <f>C874*10+D874*5+E874*1.66-(questionnaire!F874*1.66+questionnaire!G874*5+questionnaire!H874*10)</f>
        <v>0</v>
      </c>
    </row>
    <row r="875">
      <c r="A875" s="8" t="str">
        <f>questionnaire!A875</f>
        <v/>
      </c>
      <c r="B875" s="9" t="str">
        <f>questionnaire!B875</f>
        <v/>
      </c>
      <c r="C875" s="9" t="str">
        <f>questionnaire!C875</f>
        <v/>
      </c>
      <c r="D875" s="9" t="str">
        <f>questionnaire!D875</f>
        <v/>
      </c>
      <c r="E875" s="9" t="str">
        <f>questionnaire!E875</f>
        <v/>
      </c>
      <c r="F875" s="9">
        <f>8-questionnaire!F875</f>
        <v>8</v>
      </c>
      <c r="G875" s="9">
        <f>8-questionnaire!G875</f>
        <v>8</v>
      </c>
      <c r="H875" s="9">
        <f>8-questionnaire!H875</f>
        <v>8</v>
      </c>
      <c r="I875" s="9">
        <f>C875*10+D875*5+E875*1.66-(questionnaire!F875*1.66+questionnaire!G875*5+questionnaire!H875*10)</f>
        <v>0</v>
      </c>
    </row>
    <row r="876">
      <c r="A876" s="8" t="str">
        <f>questionnaire!A876</f>
        <v/>
      </c>
      <c r="B876" s="9" t="str">
        <f>questionnaire!B876</f>
        <v/>
      </c>
      <c r="C876" s="9" t="str">
        <f>questionnaire!C876</f>
        <v/>
      </c>
      <c r="D876" s="9" t="str">
        <f>questionnaire!D876</f>
        <v/>
      </c>
      <c r="E876" s="9" t="str">
        <f>questionnaire!E876</f>
        <v/>
      </c>
      <c r="F876" s="9">
        <f>8-questionnaire!F876</f>
        <v>8</v>
      </c>
      <c r="G876" s="9">
        <f>8-questionnaire!G876</f>
        <v>8</v>
      </c>
      <c r="H876" s="9">
        <f>8-questionnaire!H876</f>
        <v>8</v>
      </c>
      <c r="I876" s="9">
        <f>C876*10+D876*5+E876*1.66-(questionnaire!F876*1.66+questionnaire!G876*5+questionnaire!H876*10)</f>
        <v>0</v>
      </c>
    </row>
    <row r="877">
      <c r="A877" s="8" t="str">
        <f>questionnaire!A877</f>
        <v/>
      </c>
      <c r="B877" s="9" t="str">
        <f>questionnaire!B877</f>
        <v/>
      </c>
      <c r="C877" s="9" t="str">
        <f>questionnaire!C877</f>
        <v/>
      </c>
      <c r="D877" s="9" t="str">
        <f>questionnaire!D877</f>
        <v/>
      </c>
      <c r="E877" s="9" t="str">
        <f>questionnaire!E877</f>
        <v/>
      </c>
      <c r="F877" s="9">
        <f>8-questionnaire!F877</f>
        <v>8</v>
      </c>
      <c r="G877" s="9">
        <f>8-questionnaire!G877</f>
        <v>8</v>
      </c>
      <c r="H877" s="9">
        <f>8-questionnaire!H877</f>
        <v>8</v>
      </c>
      <c r="I877" s="9">
        <f>C877*10+D877*5+E877*1.66-(questionnaire!F877*1.66+questionnaire!G877*5+questionnaire!H877*10)</f>
        <v>0</v>
      </c>
    </row>
    <row r="878">
      <c r="A878" s="8" t="str">
        <f>questionnaire!A878</f>
        <v/>
      </c>
      <c r="B878" s="9" t="str">
        <f>questionnaire!B878</f>
        <v/>
      </c>
      <c r="C878" s="9" t="str">
        <f>questionnaire!C878</f>
        <v/>
      </c>
      <c r="D878" s="9" t="str">
        <f>questionnaire!D878</f>
        <v/>
      </c>
      <c r="E878" s="9" t="str">
        <f>questionnaire!E878</f>
        <v/>
      </c>
      <c r="F878" s="9">
        <f>8-questionnaire!F878</f>
        <v>8</v>
      </c>
      <c r="G878" s="9">
        <f>8-questionnaire!G878</f>
        <v>8</v>
      </c>
      <c r="H878" s="9">
        <f>8-questionnaire!H878</f>
        <v>8</v>
      </c>
      <c r="I878" s="9">
        <f>C878*10+D878*5+E878*1.66-(questionnaire!F878*1.66+questionnaire!G878*5+questionnaire!H878*10)</f>
        <v>0</v>
      </c>
    </row>
    <row r="879">
      <c r="A879" s="8" t="str">
        <f>questionnaire!A879</f>
        <v/>
      </c>
      <c r="B879" s="9" t="str">
        <f>questionnaire!B879</f>
        <v/>
      </c>
      <c r="C879" s="9" t="str">
        <f>questionnaire!C879</f>
        <v/>
      </c>
      <c r="D879" s="9" t="str">
        <f>questionnaire!D879</f>
        <v/>
      </c>
      <c r="E879" s="9" t="str">
        <f>questionnaire!E879</f>
        <v/>
      </c>
      <c r="F879" s="9">
        <f>8-questionnaire!F879</f>
        <v>8</v>
      </c>
      <c r="G879" s="9">
        <f>8-questionnaire!G879</f>
        <v>8</v>
      </c>
      <c r="H879" s="9">
        <f>8-questionnaire!H879</f>
        <v>8</v>
      </c>
      <c r="I879" s="9">
        <f>C879*10+D879*5+E879*1.66-(questionnaire!F879*1.66+questionnaire!G879*5+questionnaire!H879*10)</f>
        <v>0</v>
      </c>
    </row>
    <row r="880">
      <c r="A880" s="8" t="str">
        <f>questionnaire!A880</f>
        <v/>
      </c>
      <c r="B880" s="9" t="str">
        <f>questionnaire!B880</f>
        <v/>
      </c>
      <c r="C880" s="9" t="str">
        <f>questionnaire!C880</f>
        <v/>
      </c>
      <c r="D880" s="9" t="str">
        <f>questionnaire!D880</f>
        <v/>
      </c>
      <c r="E880" s="9" t="str">
        <f>questionnaire!E880</f>
        <v/>
      </c>
      <c r="F880" s="9">
        <f>8-questionnaire!F880</f>
        <v>8</v>
      </c>
      <c r="G880" s="9">
        <f>8-questionnaire!G880</f>
        <v>8</v>
      </c>
      <c r="H880" s="9">
        <f>8-questionnaire!H880</f>
        <v>8</v>
      </c>
      <c r="I880" s="9">
        <f>C880*10+D880*5+E880*1.66-(questionnaire!F880*1.66+questionnaire!G880*5+questionnaire!H880*10)</f>
        <v>0</v>
      </c>
    </row>
    <row r="881">
      <c r="A881" s="8" t="str">
        <f>questionnaire!A881</f>
        <v/>
      </c>
      <c r="B881" s="9" t="str">
        <f>questionnaire!B881</f>
        <v/>
      </c>
      <c r="C881" s="9" t="str">
        <f>questionnaire!C881</f>
        <v/>
      </c>
      <c r="D881" s="9" t="str">
        <f>questionnaire!D881</f>
        <v/>
      </c>
      <c r="E881" s="9" t="str">
        <f>questionnaire!E881</f>
        <v/>
      </c>
      <c r="F881" s="9">
        <f>8-questionnaire!F881</f>
        <v>8</v>
      </c>
      <c r="G881" s="9">
        <f>8-questionnaire!G881</f>
        <v>8</v>
      </c>
      <c r="H881" s="9">
        <f>8-questionnaire!H881</f>
        <v>8</v>
      </c>
      <c r="I881" s="9">
        <f>C881*10+D881*5+E881*1.66-(questionnaire!F881*1.66+questionnaire!G881*5+questionnaire!H881*10)</f>
        <v>0</v>
      </c>
    </row>
    <row r="882">
      <c r="A882" s="8" t="str">
        <f>questionnaire!A882</f>
        <v/>
      </c>
      <c r="B882" s="9" t="str">
        <f>questionnaire!B882</f>
        <v/>
      </c>
      <c r="C882" s="9" t="str">
        <f>questionnaire!C882</f>
        <v/>
      </c>
      <c r="D882" s="9" t="str">
        <f>questionnaire!D882</f>
        <v/>
      </c>
      <c r="E882" s="9" t="str">
        <f>questionnaire!E882</f>
        <v/>
      </c>
      <c r="F882" s="9">
        <f>8-questionnaire!F882</f>
        <v>8</v>
      </c>
      <c r="G882" s="9">
        <f>8-questionnaire!G882</f>
        <v>8</v>
      </c>
      <c r="H882" s="9">
        <f>8-questionnaire!H882</f>
        <v>8</v>
      </c>
      <c r="I882" s="9">
        <f>C882*10+D882*5+E882*1.66-(questionnaire!F882*1.66+questionnaire!G882*5+questionnaire!H882*10)</f>
        <v>0</v>
      </c>
    </row>
    <row r="883">
      <c r="A883" s="8" t="str">
        <f>questionnaire!A883</f>
        <v/>
      </c>
      <c r="B883" s="9" t="str">
        <f>questionnaire!B883</f>
        <v/>
      </c>
      <c r="C883" s="9" t="str">
        <f>questionnaire!C883</f>
        <v/>
      </c>
      <c r="D883" s="9" t="str">
        <f>questionnaire!D883</f>
        <v/>
      </c>
      <c r="E883" s="9" t="str">
        <f>questionnaire!E883</f>
        <v/>
      </c>
      <c r="F883" s="9">
        <f>8-questionnaire!F883</f>
        <v>8</v>
      </c>
      <c r="G883" s="9">
        <f>8-questionnaire!G883</f>
        <v>8</v>
      </c>
      <c r="H883" s="9">
        <f>8-questionnaire!H883</f>
        <v>8</v>
      </c>
      <c r="I883" s="9">
        <f>C883*10+D883*5+E883*1.66-(questionnaire!F883*1.66+questionnaire!G883*5+questionnaire!H883*10)</f>
        <v>0</v>
      </c>
    </row>
    <row r="884">
      <c r="A884" s="8" t="str">
        <f>questionnaire!A884</f>
        <v/>
      </c>
      <c r="B884" s="9" t="str">
        <f>questionnaire!B884</f>
        <v/>
      </c>
      <c r="C884" s="9" t="str">
        <f>questionnaire!C884</f>
        <v/>
      </c>
      <c r="D884" s="9" t="str">
        <f>questionnaire!D884</f>
        <v/>
      </c>
      <c r="E884" s="9" t="str">
        <f>questionnaire!E884</f>
        <v/>
      </c>
      <c r="F884" s="9">
        <f>8-questionnaire!F884</f>
        <v>8</v>
      </c>
      <c r="G884" s="9">
        <f>8-questionnaire!G884</f>
        <v>8</v>
      </c>
      <c r="H884" s="9">
        <f>8-questionnaire!H884</f>
        <v>8</v>
      </c>
      <c r="I884" s="9">
        <f>C884*10+D884*5+E884*1.66-(questionnaire!F884*1.66+questionnaire!G884*5+questionnaire!H884*10)</f>
        <v>0</v>
      </c>
    </row>
    <row r="885">
      <c r="A885" s="8" t="str">
        <f>questionnaire!A885</f>
        <v/>
      </c>
      <c r="B885" s="9" t="str">
        <f>questionnaire!B885</f>
        <v/>
      </c>
      <c r="C885" s="9" t="str">
        <f>questionnaire!C885</f>
        <v/>
      </c>
      <c r="D885" s="9" t="str">
        <f>questionnaire!D885</f>
        <v/>
      </c>
      <c r="E885" s="9" t="str">
        <f>questionnaire!E885</f>
        <v/>
      </c>
      <c r="F885" s="9">
        <f>8-questionnaire!F885</f>
        <v>8</v>
      </c>
      <c r="G885" s="9">
        <f>8-questionnaire!G885</f>
        <v>8</v>
      </c>
      <c r="H885" s="9">
        <f>8-questionnaire!H885</f>
        <v>8</v>
      </c>
      <c r="I885" s="9">
        <f>C885*10+D885*5+E885*1.66-(questionnaire!F885*1.66+questionnaire!G885*5+questionnaire!H885*10)</f>
        <v>0</v>
      </c>
    </row>
    <row r="886">
      <c r="A886" s="8" t="str">
        <f>questionnaire!A886</f>
        <v/>
      </c>
      <c r="B886" s="9" t="str">
        <f>questionnaire!B886</f>
        <v/>
      </c>
      <c r="C886" s="9" t="str">
        <f>questionnaire!C886</f>
        <v/>
      </c>
      <c r="D886" s="9" t="str">
        <f>questionnaire!D886</f>
        <v/>
      </c>
      <c r="E886" s="9" t="str">
        <f>questionnaire!E886</f>
        <v/>
      </c>
      <c r="F886" s="9">
        <f>8-questionnaire!F886</f>
        <v>8</v>
      </c>
      <c r="G886" s="9">
        <f>8-questionnaire!G886</f>
        <v>8</v>
      </c>
      <c r="H886" s="9">
        <f>8-questionnaire!H886</f>
        <v>8</v>
      </c>
      <c r="I886" s="9">
        <f>C886*10+D886*5+E886*1.66-(questionnaire!F886*1.66+questionnaire!G886*5+questionnaire!H886*10)</f>
        <v>0</v>
      </c>
    </row>
    <row r="887">
      <c r="A887" s="8" t="str">
        <f>questionnaire!A887</f>
        <v/>
      </c>
      <c r="B887" s="9" t="str">
        <f>questionnaire!B887</f>
        <v/>
      </c>
      <c r="C887" s="9" t="str">
        <f>questionnaire!C887</f>
        <v/>
      </c>
      <c r="D887" s="9" t="str">
        <f>questionnaire!D887</f>
        <v/>
      </c>
      <c r="E887" s="9" t="str">
        <f>questionnaire!E887</f>
        <v/>
      </c>
      <c r="F887" s="9">
        <f>8-questionnaire!F887</f>
        <v>8</v>
      </c>
      <c r="G887" s="9">
        <f>8-questionnaire!G887</f>
        <v>8</v>
      </c>
      <c r="H887" s="9">
        <f>8-questionnaire!H887</f>
        <v>8</v>
      </c>
      <c r="I887" s="9">
        <f>C887*10+D887*5+E887*1.66-(questionnaire!F887*1.66+questionnaire!G887*5+questionnaire!H887*10)</f>
        <v>0</v>
      </c>
    </row>
    <row r="888">
      <c r="A888" s="8" t="str">
        <f>questionnaire!A888</f>
        <v/>
      </c>
      <c r="B888" s="9" t="str">
        <f>questionnaire!B888</f>
        <v/>
      </c>
      <c r="C888" s="9" t="str">
        <f>questionnaire!C888</f>
        <v/>
      </c>
      <c r="D888" s="9" t="str">
        <f>questionnaire!D888</f>
        <v/>
      </c>
      <c r="E888" s="9" t="str">
        <f>questionnaire!E888</f>
        <v/>
      </c>
      <c r="F888" s="9">
        <f>8-questionnaire!F888</f>
        <v>8</v>
      </c>
      <c r="G888" s="9">
        <f>8-questionnaire!G888</f>
        <v>8</v>
      </c>
      <c r="H888" s="9">
        <f>8-questionnaire!H888</f>
        <v>8</v>
      </c>
      <c r="I888" s="9">
        <f>C888*10+D888*5+E888*1.66-(questionnaire!F888*1.66+questionnaire!G888*5+questionnaire!H888*10)</f>
        <v>0</v>
      </c>
    </row>
    <row r="889">
      <c r="A889" s="8" t="str">
        <f>questionnaire!A889</f>
        <v/>
      </c>
      <c r="B889" s="9" t="str">
        <f>questionnaire!B889</f>
        <v/>
      </c>
      <c r="C889" s="9" t="str">
        <f>questionnaire!C889</f>
        <v/>
      </c>
      <c r="D889" s="9" t="str">
        <f>questionnaire!D889</f>
        <v/>
      </c>
      <c r="E889" s="9" t="str">
        <f>questionnaire!E889</f>
        <v/>
      </c>
      <c r="F889" s="9">
        <f>8-questionnaire!F889</f>
        <v>8</v>
      </c>
      <c r="G889" s="9">
        <f>8-questionnaire!G889</f>
        <v>8</v>
      </c>
      <c r="H889" s="9">
        <f>8-questionnaire!H889</f>
        <v>8</v>
      </c>
      <c r="I889" s="9">
        <f>C889*10+D889*5+E889*1.66-(questionnaire!F889*1.66+questionnaire!G889*5+questionnaire!H889*10)</f>
        <v>0</v>
      </c>
    </row>
    <row r="890">
      <c r="A890" s="8" t="str">
        <f>questionnaire!A890</f>
        <v/>
      </c>
      <c r="B890" s="9" t="str">
        <f>questionnaire!B890</f>
        <v/>
      </c>
      <c r="C890" s="9" t="str">
        <f>questionnaire!C890</f>
        <v/>
      </c>
      <c r="D890" s="9" t="str">
        <f>questionnaire!D890</f>
        <v/>
      </c>
      <c r="E890" s="9" t="str">
        <f>questionnaire!E890</f>
        <v/>
      </c>
      <c r="F890" s="9">
        <f>8-questionnaire!F890</f>
        <v>8</v>
      </c>
      <c r="G890" s="9">
        <f>8-questionnaire!G890</f>
        <v>8</v>
      </c>
      <c r="H890" s="9">
        <f>8-questionnaire!H890</f>
        <v>8</v>
      </c>
      <c r="I890" s="9">
        <f>C890*10+D890*5+E890*1.66-(questionnaire!F890*1.66+questionnaire!G890*5+questionnaire!H890*10)</f>
        <v>0</v>
      </c>
    </row>
    <row r="891">
      <c r="A891" s="8" t="str">
        <f>questionnaire!A891</f>
        <v/>
      </c>
      <c r="B891" s="9" t="str">
        <f>questionnaire!B891</f>
        <v/>
      </c>
      <c r="C891" s="9" t="str">
        <f>questionnaire!C891</f>
        <v/>
      </c>
      <c r="D891" s="9" t="str">
        <f>questionnaire!D891</f>
        <v/>
      </c>
      <c r="E891" s="9" t="str">
        <f>questionnaire!E891</f>
        <v/>
      </c>
      <c r="F891" s="9">
        <f>8-questionnaire!F891</f>
        <v>8</v>
      </c>
      <c r="G891" s="9">
        <f>8-questionnaire!G891</f>
        <v>8</v>
      </c>
      <c r="H891" s="9">
        <f>8-questionnaire!H891</f>
        <v>8</v>
      </c>
      <c r="I891" s="9">
        <f>C891*10+D891*5+E891*1.66-(questionnaire!F891*1.66+questionnaire!G891*5+questionnaire!H891*10)</f>
        <v>0</v>
      </c>
    </row>
    <row r="892">
      <c r="A892" s="8" t="str">
        <f>questionnaire!A892</f>
        <v/>
      </c>
      <c r="B892" s="9" t="str">
        <f>questionnaire!B892</f>
        <v/>
      </c>
      <c r="C892" s="9" t="str">
        <f>questionnaire!C892</f>
        <v/>
      </c>
      <c r="D892" s="9" t="str">
        <f>questionnaire!D892</f>
        <v/>
      </c>
      <c r="E892" s="9" t="str">
        <f>questionnaire!E892</f>
        <v/>
      </c>
      <c r="F892" s="9">
        <f>8-questionnaire!F892</f>
        <v>8</v>
      </c>
      <c r="G892" s="9">
        <f>8-questionnaire!G892</f>
        <v>8</v>
      </c>
      <c r="H892" s="9">
        <f>8-questionnaire!H892</f>
        <v>8</v>
      </c>
      <c r="I892" s="9">
        <f>C892*10+D892*5+E892*1.66-(questionnaire!F892*1.66+questionnaire!G892*5+questionnaire!H892*10)</f>
        <v>0</v>
      </c>
    </row>
    <row r="893">
      <c r="A893" s="8" t="str">
        <f>questionnaire!A893</f>
        <v/>
      </c>
      <c r="B893" s="9" t="str">
        <f>questionnaire!B893</f>
        <v/>
      </c>
      <c r="C893" s="9" t="str">
        <f>questionnaire!C893</f>
        <v/>
      </c>
      <c r="D893" s="9" t="str">
        <f>questionnaire!D893</f>
        <v/>
      </c>
      <c r="E893" s="9" t="str">
        <f>questionnaire!E893</f>
        <v/>
      </c>
      <c r="F893" s="9">
        <f>8-questionnaire!F893</f>
        <v>8</v>
      </c>
      <c r="G893" s="9">
        <f>8-questionnaire!G893</f>
        <v>8</v>
      </c>
      <c r="H893" s="9">
        <f>8-questionnaire!H893</f>
        <v>8</v>
      </c>
      <c r="I893" s="9">
        <f>C893*10+D893*5+E893*1.66-(questionnaire!F893*1.66+questionnaire!G893*5+questionnaire!H893*10)</f>
        <v>0</v>
      </c>
    </row>
    <row r="894">
      <c r="A894" s="8" t="str">
        <f>questionnaire!A894</f>
        <v/>
      </c>
      <c r="B894" s="9" t="str">
        <f>questionnaire!B894</f>
        <v/>
      </c>
      <c r="C894" s="9" t="str">
        <f>questionnaire!C894</f>
        <v/>
      </c>
      <c r="D894" s="9" t="str">
        <f>questionnaire!D894</f>
        <v/>
      </c>
      <c r="E894" s="9" t="str">
        <f>questionnaire!E894</f>
        <v/>
      </c>
      <c r="F894" s="9">
        <f>8-questionnaire!F894</f>
        <v>8</v>
      </c>
      <c r="G894" s="9">
        <f>8-questionnaire!G894</f>
        <v>8</v>
      </c>
      <c r="H894" s="9">
        <f>8-questionnaire!H894</f>
        <v>8</v>
      </c>
      <c r="I894" s="9">
        <f>C894*10+D894*5+E894*1.66-(questionnaire!F894*1.66+questionnaire!G894*5+questionnaire!H894*10)</f>
        <v>0</v>
      </c>
    </row>
    <row r="895">
      <c r="A895" s="8" t="str">
        <f>questionnaire!A895</f>
        <v/>
      </c>
      <c r="B895" s="9" t="str">
        <f>questionnaire!B895</f>
        <v/>
      </c>
      <c r="C895" s="9" t="str">
        <f>questionnaire!C895</f>
        <v/>
      </c>
      <c r="D895" s="9" t="str">
        <f>questionnaire!D895</f>
        <v/>
      </c>
      <c r="E895" s="9" t="str">
        <f>questionnaire!E895</f>
        <v/>
      </c>
      <c r="F895" s="9">
        <f>8-questionnaire!F895</f>
        <v>8</v>
      </c>
      <c r="G895" s="9">
        <f>8-questionnaire!G895</f>
        <v>8</v>
      </c>
      <c r="H895" s="9">
        <f>8-questionnaire!H895</f>
        <v>8</v>
      </c>
      <c r="I895" s="9">
        <f>C895*10+D895*5+E895*1.66-(questionnaire!F895*1.66+questionnaire!G895*5+questionnaire!H895*10)</f>
        <v>0</v>
      </c>
    </row>
    <row r="896">
      <c r="A896" s="8" t="str">
        <f>questionnaire!A896</f>
        <v/>
      </c>
      <c r="B896" s="9" t="str">
        <f>questionnaire!B896</f>
        <v/>
      </c>
      <c r="C896" s="9" t="str">
        <f>questionnaire!C896</f>
        <v/>
      </c>
      <c r="D896" s="9" t="str">
        <f>questionnaire!D896</f>
        <v/>
      </c>
      <c r="E896" s="9" t="str">
        <f>questionnaire!E896</f>
        <v/>
      </c>
      <c r="F896" s="9">
        <f>8-questionnaire!F896</f>
        <v>8</v>
      </c>
      <c r="G896" s="9">
        <f>8-questionnaire!G896</f>
        <v>8</v>
      </c>
      <c r="H896" s="9">
        <f>8-questionnaire!H896</f>
        <v>8</v>
      </c>
      <c r="I896" s="9">
        <f>C896*10+D896*5+E896*1.66-(questionnaire!F896*1.66+questionnaire!G896*5+questionnaire!H896*10)</f>
        <v>0</v>
      </c>
    </row>
    <row r="897">
      <c r="A897" s="8" t="str">
        <f>questionnaire!A897</f>
        <v/>
      </c>
      <c r="B897" s="9" t="str">
        <f>questionnaire!B897</f>
        <v/>
      </c>
      <c r="C897" s="9" t="str">
        <f>questionnaire!C897</f>
        <v/>
      </c>
      <c r="D897" s="9" t="str">
        <f>questionnaire!D897</f>
        <v/>
      </c>
      <c r="E897" s="9" t="str">
        <f>questionnaire!E897</f>
        <v/>
      </c>
      <c r="F897" s="9">
        <f>8-questionnaire!F897</f>
        <v>8</v>
      </c>
      <c r="G897" s="9">
        <f>8-questionnaire!G897</f>
        <v>8</v>
      </c>
      <c r="H897" s="9">
        <f>8-questionnaire!H897</f>
        <v>8</v>
      </c>
      <c r="I897" s="9">
        <f>C897*10+D897*5+E897*1.66-(questionnaire!F897*1.66+questionnaire!G897*5+questionnaire!H897*10)</f>
        <v>0</v>
      </c>
    </row>
    <row r="898">
      <c r="A898" s="8" t="str">
        <f>questionnaire!A898</f>
        <v/>
      </c>
      <c r="B898" s="9" t="str">
        <f>questionnaire!B898</f>
        <v/>
      </c>
      <c r="C898" s="9" t="str">
        <f>questionnaire!C898</f>
        <v/>
      </c>
      <c r="D898" s="9" t="str">
        <f>questionnaire!D898</f>
        <v/>
      </c>
      <c r="E898" s="9" t="str">
        <f>questionnaire!E898</f>
        <v/>
      </c>
      <c r="F898" s="9">
        <f>8-questionnaire!F898</f>
        <v>8</v>
      </c>
      <c r="G898" s="9">
        <f>8-questionnaire!G898</f>
        <v>8</v>
      </c>
      <c r="H898" s="9">
        <f>8-questionnaire!H898</f>
        <v>8</v>
      </c>
      <c r="I898" s="9">
        <f>C898*10+D898*5+E898*1.66-(questionnaire!F898*1.66+questionnaire!G898*5+questionnaire!H898*10)</f>
        <v>0</v>
      </c>
    </row>
    <row r="899">
      <c r="A899" s="8" t="str">
        <f>questionnaire!A899</f>
        <v/>
      </c>
      <c r="B899" s="9" t="str">
        <f>questionnaire!B899</f>
        <v/>
      </c>
      <c r="C899" s="9" t="str">
        <f>questionnaire!C899</f>
        <v/>
      </c>
      <c r="D899" s="9" t="str">
        <f>questionnaire!D899</f>
        <v/>
      </c>
      <c r="E899" s="9" t="str">
        <f>questionnaire!E899</f>
        <v/>
      </c>
      <c r="F899" s="9">
        <f>8-questionnaire!F899</f>
        <v>8</v>
      </c>
      <c r="G899" s="9">
        <f>8-questionnaire!G899</f>
        <v>8</v>
      </c>
      <c r="H899" s="9">
        <f>8-questionnaire!H899</f>
        <v>8</v>
      </c>
      <c r="I899" s="9">
        <f>C899*10+D899*5+E899*1.66-(questionnaire!F899*1.66+questionnaire!G899*5+questionnaire!H899*10)</f>
        <v>0</v>
      </c>
    </row>
    <row r="900">
      <c r="A900" s="8" t="str">
        <f>questionnaire!A900</f>
        <v/>
      </c>
      <c r="B900" s="9" t="str">
        <f>questionnaire!B900</f>
        <v/>
      </c>
      <c r="C900" s="9" t="str">
        <f>questionnaire!C900</f>
        <v/>
      </c>
      <c r="D900" s="9" t="str">
        <f>questionnaire!D900</f>
        <v/>
      </c>
      <c r="E900" s="9" t="str">
        <f>questionnaire!E900</f>
        <v/>
      </c>
      <c r="F900" s="9">
        <f>8-questionnaire!F900</f>
        <v>8</v>
      </c>
      <c r="G900" s="9">
        <f>8-questionnaire!G900</f>
        <v>8</v>
      </c>
      <c r="H900" s="9">
        <f>8-questionnaire!H900</f>
        <v>8</v>
      </c>
      <c r="I900" s="9">
        <f>C900*10+D900*5+E900*1.66-(questionnaire!F900*1.66+questionnaire!G900*5+questionnaire!H900*10)</f>
        <v>0</v>
      </c>
    </row>
    <row r="901">
      <c r="A901" s="8" t="str">
        <f>questionnaire!A901</f>
        <v/>
      </c>
      <c r="B901" s="9" t="str">
        <f>questionnaire!B901</f>
        <v/>
      </c>
      <c r="C901" s="9" t="str">
        <f>questionnaire!C901</f>
        <v/>
      </c>
      <c r="D901" s="9" t="str">
        <f>questionnaire!D901</f>
        <v/>
      </c>
      <c r="E901" s="9" t="str">
        <f>questionnaire!E901</f>
        <v/>
      </c>
      <c r="F901" s="9">
        <f>8-questionnaire!F901</f>
        <v>8</v>
      </c>
      <c r="G901" s="9">
        <f>8-questionnaire!G901</f>
        <v>8</v>
      </c>
      <c r="H901" s="9">
        <f>8-questionnaire!H901</f>
        <v>8</v>
      </c>
      <c r="I901" s="9">
        <f>C901*10+D901*5+E901*1.66-(questionnaire!F901*1.66+questionnaire!G901*5+questionnaire!H901*10)</f>
        <v>0</v>
      </c>
    </row>
    <row r="902">
      <c r="A902" s="8" t="str">
        <f>questionnaire!A902</f>
        <v/>
      </c>
      <c r="B902" s="9" t="str">
        <f>questionnaire!B902</f>
        <v/>
      </c>
      <c r="C902" s="9" t="str">
        <f>questionnaire!C902</f>
        <v/>
      </c>
      <c r="D902" s="9" t="str">
        <f>questionnaire!D902</f>
        <v/>
      </c>
      <c r="E902" s="9" t="str">
        <f>questionnaire!E902</f>
        <v/>
      </c>
      <c r="F902" s="9">
        <f>8-questionnaire!F902</f>
        <v>8</v>
      </c>
      <c r="G902" s="9">
        <f>8-questionnaire!G902</f>
        <v>8</v>
      </c>
      <c r="H902" s="9">
        <f>8-questionnaire!H902</f>
        <v>8</v>
      </c>
      <c r="I902" s="9">
        <f>C902*10+D902*5+E902*1.66-(questionnaire!F902*1.66+questionnaire!G902*5+questionnaire!H902*10)</f>
        <v>0</v>
      </c>
    </row>
    <row r="903">
      <c r="A903" s="8" t="str">
        <f>questionnaire!A903</f>
        <v/>
      </c>
      <c r="B903" s="9" t="str">
        <f>questionnaire!B903</f>
        <v/>
      </c>
      <c r="C903" s="9" t="str">
        <f>questionnaire!C903</f>
        <v/>
      </c>
      <c r="D903" s="9" t="str">
        <f>questionnaire!D903</f>
        <v/>
      </c>
      <c r="E903" s="9" t="str">
        <f>questionnaire!E903</f>
        <v/>
      </c>
      <c r="F903" s="9">
        <f>8-questionnaire!F903</f>
        <v>8</v>
      </c>
      <c r="G903" s="9">
        <f>8-questionnaire!G903</f>
        <v>8</v>
      </c>
      <c r="H903" s="9">
        <f>8-questionnaire!H903</f>
        <v>8</v>
      </c>
      <c r="I903" s="9">
        <f>C903*10+D903*5+E903*1.66-(questionnaire!F903*1.66+questionnaire!G903*5+questionnaire!H903*10)</f>
        <v>0</v>
      </c>
    </row>
    <row r="904">
      <c r="A904" s="8" t="str">
        <f>questionnaire!A904</f>
        <v/>
      </c>
      <c r="B904" s="9" t="str">
        <f>questionnaire!B904</f>
        <v/>
      </c>
      <c r="C904" s="9" t="str">
        <f>questionnaire!C904</f>
        <v/>
      </c>
      <c r="D904" s="9" t="str">
        <f>questionnaire!D904</f>
        <v/>
      </c>
      <c r="E904" s="9" t="str">
        <f>questionnaire!E904</f>
        <v/>
      </c>
      <c r="F904" s="9">
        <f>8-questionnaire!F904</f>
        <v>8</v>
      </c>
      <c r="G904" s="9">
        <f>8-questionnaire!G904</f>
        <v>8</v>
      </c>
      <c r="H904" s="9">
        <f>8-questionnaire!H904</f>
        <v>8</v>
      </c>
      <c r="I904" s="9">
        <f>C904*10+D904*5+E904*1.66-(questionnaire!F904*1.66+questionnaire!G904*5+questionnaire!H904*10)</f>
        <v>0</v>
      </c>
    </row>
    <row r="905">
      <c r="A905" s="8" t="str">
        <f>questionnaire!A905</f>
        <v/>
      </c>
      <c r="B905" s="9" t="str">
        <f>questionnaire!B905</f>
        <v/>
      </c>
      <c r="C905" s="9" t="str">
        <f>questionnaire!C905</f>
        <v/>
      </c>
      <c r="D905" s="9" t="str">
        <f>questionnaire!D905</f>
        <v/>
      </c>
      <c r="E905" s="9" t="str">
        <f>questionnaire!E905</f>
        <v/>
      </c>
      <c r="F905" s="9">
        <f>8-questionnaire!F905</f>
        <v>8</v>
      </c>
      <c r="G905" s="9">
        <f>8-questionnaire!G905</f>
        <v>8</v>
      </c>
      <c r="H905" s="9">
        <f>8-questionnaire!H905</f>
        <v>8</v>
      </c>
      <c r="I905" s="9">
        <f>C905*10+D905*5+E905*1.66-(questionnaire!F905*1.66+questionnaire!G905*5+questionnaire!H905*10)</f>
        <v>0</v>
      </c>
    </row>
    <row r="906">
      <c r="A906" s="8" t="str">
        <f>questionnaire!A906</f>
        <v/>
      </c>
      <c r="B906" s="9" t="str">
        <f>questionnaire!B906</f>
        <v/>
      </c>
      <c r="C906" s="9" t="str">
        <f>questionnaire!C906</f>
        <v/>
      </c>
      <c r="D906" s="9" t="str">
        <f>questionnaire!D906</f>
        <v/>
      </c>
      <c r="E906" s="9" t="str">
        <f>questionnaire!E906</f>
        <v/>
      </c>
      <c r="F906" s="9">
        <f>8-questionnaire!F906</f>
        <v>8</v>
      </c>
      <c r="G906" s="9">
        <f>8-questionnaire!G906</f>
        <v>8</v>
      </c>
      <c r="H906" s="9">
        <f>8-questionnaire!H906</f>
        <v>8</v>
      </c>
      <c r="I906" s="9">
        <f>C906*10+D906*5+E906*1.66-(questionnaire!F906*1.66+questionnaire!G906*5+questionnaire!H906*10)</f>
        <v>0</v>
      </c>
    </row>
    <row r="907">
      <c r="A907" s="8" t="str">
        <f>questionnaire!A907</f>
        <v/>
      </c>
      <c r="B907" s="9" t="str">
        <f>questionnaire!B907</f>
        <v/>
      </c>
      <c r="C907" s="9" t="str">
        <f>questionnaire!C907</f>
        <v/>
      </c>
      <c r="D907" s="9" t="str">
        <f>questionnaire!D907</f>
        <v/>
      </c>
      <c r="E907" s="9" t="str">
        <f>questionnaire!E907</f>
        <v/>
      </c>
      <c r="F907" s="9">
        <f>8-questionnaire!F907</f>
        <v>8</v>
      </c>
      <c r="G907" s="9">
        <f>8-questionnaire!G907</f>
        <v>8</v>
      </c>
      <c r="H907" s="9">
        <f>8-questionnaire!H907</f>
        <v>8</v>
      </c>
      <c r="I907" s="9">
        <f>C907*10+D907*5+E907*1.66-(questionnaire!F907*1.66+questionnaire!G907*5+questionnaire!H907*10)</f>
        <v>0</v>
      </c>
    </row>
    <row r="908">
      <c r="A908" s="8" t="str">
        <f>questionnaire!A908</f>
        <v/>
      </c>
      <c r="B908" s="9" t="str">
        <f>questionnaire!B908</f>
        <v/>
      </c>
      <c r="C908" s="9" t="str">
        <f>questionnaire!C908</f>
        <v/>
      </c>
      <c r="D908" s="9" t="str">
        <f>questionnaire!D908</f>
        <v/>
      </c>
      <c r="E908" s="9" t="str">
        <f>questionnaire!E908</f>
        <v/>
      </c>
      <c r="F908" s="9">
        <f>8-questionnaire!F908</f>
        <v>8</v>
      </c>
      <c r="G908" s="9">
        <f>8-questionnaire!G908</f>
        <v>8</v>
      </c>
      <c r="H908" s="9">
        <f>8-questionnaire!H908</f>
        <v>8</v>
      </c>
      <c r="I908" s="9">
        <f>C908*10+D908*5+E908*1.66-(questionnaire!F908*1.66+questionnaire!G908*5+questionnaire!H908*10)</f>
        <v>0</v>
      </c>
    </row>
    <row r="909">
      <c r="A909" s="8" t="str">
        <f>questionnaire!A909</f>
        <v/>
      </c>
      <c r="B909" s="9" t="str">
        <f>questionnaire!B909</f>
        <v/>
      </c>
      <c r="C909" s="9" t="str">
        <f>questionnaire!C909</f>
        <v/>
      </c>
      <c r="D909" s="9" t="str">
        <f>questionnaire!D909</f>
        <v/>
      </c>
      <c r="E909" s="9" t="str">
        <f>questionnaire!E909</f>
        <v/>
      </c>
      <c r="F909" s="9">
        <f>8-questionnaire!F909</f>
        <v>8</v>
      </c>
      <c r="G909" s="9">
        <f>8-questionnaire!G909</f>
        <v>8</v>
      </c>
      <c r="H909" s="9">
        <f>8-questionnaire!H909</f>
        <v>8</v>
      </c>
      <c r="I909" s="9">
        <f>C909*10+D909*5+E909*1.66-(questionnaire!F909*1.66+questionnaire!G909*5+questionnaire!H909*10)</f>
        <v>0</v>
      </c>
    </row>
    <row r="910">
      <c r="A910" s="8" t="str">
        <f>questionnaire!A910</f>
        <v/>
      </c>
      <c r="B910" s="9" t="str">
        <f>questionnaire!B910</f>
        <v/>
      </c>
      <c r="C910" s="9" t="str">
        <f>questionnaire!C910</f>
        <v/>
      </c>
      <c r="D910" s="9" t="str">
        <f>questionnaire!D910</f>
        <v/>
      </c>
      <c r="E910" s="9" t="str">
        <f>questionnaire!E910</f>
        <v/>
      </c>
      <c r="F910" s="9">
        <f>8-questionnaire!F910</f>
        <v>8</v>
      </c>
      <c r="G910" s="9">
        <f>8-questionnaire!G910</f>
        <v>8</v>
      </c>
      <c r="H910" s="9">
        <f>8-questionnaire!H910</f>
        <v>8</v>
      </c>
      <c r="I910" s="9">
        <f>C910*10+D910*5+E910*1.66-(questionnaire!F910*1.66+questionnaire!G910*5+questionnaire!H910*10)</f>
        <v>0</v>
      </c>
    </row>
    <row r="911">
      <c r="A911" s="8" t="str">
        <f>questionnaire!A911</f>
        <v/>
      </c>
      <c r="B911" s="9" t="str">
        <f>questionnaire!B911</f>
        <v/>
      </c>
      <c r="C911" s="9" t="str">
        <f>questionnaire!C911</f>
        <v/>
      </c>
      <c r="D911" s="9" t="str">
        <f>questionnaire!D911</f>
        <v/>
      </c>
      <c r="E911" s="9" t="str">
        <f>questionnaire!E911</f>
        <v/>
      </c>
      <c r="F911" s="9">
        <f>8-questionnaire!F911</f>
        <v>8</v>
      </c>
      <c r="G911" s="9">
        <f>8-questionnaire!G911</f>
        <v>8</v>
      </c>
      <c r="H911" s="9">
        <f>8-questionnaire!H911</f>
        <v>8</v>
      </c>
      <c r="I911" s="9">
        <f>C911*10+D911*5+E911*1.66-(questionnaire!F911*1.66+questionnaire!G911*5+questionnaire!H911*10)</f>
        <v>0</v>
      </c>
    </row>
    <row r="912">
      <c r="A912" s="8" t="str">
        <f>questionnaire!A912</f>
        <v/>
      </c>
      <c r="B912" s="9" t="str">
        <f>questionnaire!B912</f>
        <v/>
      </c>
      <c r="C912" s="9" t="str">
        <f>questionnaire!C912</f>
        <v/>
      </c>
      <c r="D912" s="9" t="str">
        <f>questionnaire!D912</f>
        <v/>
      </c>
      <c r="E912" s="9" t="str">
        <f>questionnaire!E912</f>
        <v/>
      </c>
      <c r="F912" s="9">
        <f>8-questionnaire!F912</f>
        <v>8</v>
      </c>
      <c r="G912" s="9">
        <f>8-questionnaire!G912</f>
        <v>8</v>
      </c>
      <c r="H912" s="9">
        <f>8-questionnaire!H912</f>
        <v>8</v>
      </c>
      <c r="I912" s="9">
        <f>C912*10+D912*5+E912*1.66-(questionnaire!F912*1.66+questionnaire!G912*5+questionnaire!H912*10)</f>
        <v>0</v>
      </c>
    </row>
    <row r="913">
      <c r="A913" s="8" t="str">
        <f>questionnaire!A913</f>
        <v/>
      </c>
      <c r="B913" s="9" t="str">
        <f>questionnaire!B913</f>
        <v/>
      </c>
      <c r="C913" s="9" t="str">
        <f>questionnaire!C913</f>
        <v/>
      </c>
      <c r="D913" s="9" t="str">
        <f>questionnaire!D913</f>
        <v/>
      </c>
      <c r="E913" s="9" t="str">
        <f>questionnaire!E913</f>
        <v/>
      </c>
      <c r="F913" s="9">
        <f>8-questionnaire!F913</f>
        <v>8</v>
      </c>
      <c r="G913" s="9">
        <f>8-questionnaire!G913</f>
        <v>8</v>
      </c>
      <c r="H913" s="9">
        <f>8-questionnaire!H913</f>
        <v>8</v>
      </c>
      <c r="I913" s="9">
        <f>C913*10+D913*5+E913*1.66-(questionnaire!F913*1.66+questionnaire!G913*5+questionnaire!H913*10)</f>
        <v>0</v>
      </c>
    </row>
    <row r="914">
      <c r="A914" s="8" t="str">
        <f>questionnaire!A914</f>
        <v/>
      </c>
      <c r="B914" s="9" t="str">
        <f>questionnaire!B914</f>
        <v/>
      </c>
      <c r="C914" s="9" t="str">
        <f>questionnaire!C914</f>
        <v/>
      </c>
      <c r="D914" s="9" t="str">
        <f>questionnaire!D914</f>
        <v/>
      </c>
      <c r="E914" s="9" t="str">
        <f>questionnaire!E914</f>
        <v/>
      </c>
      <c r="F914" s="9">
        <f>8-questionnaire!F914</f>
        <v>8</v>
      </c>
      <c r="G914" s="9">
        <f>8-questionnaire!G914</f>
        <v>8</v>
      </c>
      <c r="H914" s="9">
        <f>8-questionnaire!H914</f>
        <v>8</v>
      </c>
      <c r="I914" s="9">
        <f>C914*10+D914*5+E914*1.66-(questionnaire!F914*1.66+questionnaire!G914*5+questionnaire!H914*10)</f>
        <v>0</v>
      </c>
    </row>
    <row r="915">
      <c r="A915" s="8" t="str">
        <f>questionnaire!A915</f>
        <v/>
      </c>
      <c r="B915" s="9" t="str">
        <f>questionnaire!B915</f>
        <v/>
      </c>
      <c r="C915" s="9" t="str">
        <f>questionnaire!C915</f>
        <v/>
      </c>
      <c r="D915" s="9" t="str">
        <f>questionnaire!D915</f>
        <v/>
      </c>
      <c r="E915" s="9" t="str">
        <f>questionnaire!E915</f>
        <v/>
      </c>
      <c r="F915" s="9">
        <f>8-questionnaire!F915</f>
        <v>8</v>
      </c>
      <c r="G915" s="9">
        <f>8-questionnaire!G915</f>
        <v>8</v>
      </c>
      <c r="H915" s="9">
        <f>8-questionnaire!H915</f>
        <v>8</v>
      </c>
      <c r="I915" s="9">
        <f>C915*10+D915*5+E915*1.66-(questionnaire!F915*1.66+questionnaire!G915*5+questionnaire!H915*10)</f>
        <v>0</v>
      </c>
    </row>
    <row r="916">
      <c r="A916" s="8" t="str">
        <f>questionnaire!A916</f>
        <v/>
      </c>
      <c r="B916" s="9" t="str">
        <f>questionnaire!B916</f>
        <v/>
      </c>
      <c r="C916" s="9" t="str">
        <f>questionnaire!C916</f>
        <v/>
      </c>
      <c r="D916" s="9" t="str">
        <f>questionnaire!D916</f>
        <v/>
      </c>
      <c r="E916" s="9" t="str">
        <f>questionnaire!E916</f>
        <v/>
      </c>
      <c r="F916" s="9">
        <f>8-questionnaire!F916</f>
        <v>8</v>
      </c>
      <c r="G916" s="9">
        <f>8-questionnaire!G916</f>
        <v>8</v>
      </c>
      <c r="H916" s="9">
        <f>8-questionnaire!H916</f>
        <v>8</v>
      </c>
      <c r="I916" s="9">
        <f>C916*10+D916*5+E916*1.66-(questionnaire!F916*1.66+questionnaire!G916*5+questionnaire!H916*10)</f>
        <v>0</v>
      </c>
    </row>
    <row r="917">
      <c r="A917" s="8" t="str">
        <f>questionnaire!A917</f>
        <v/>
      </c>
      <c r="B917" s="9" t="str">
        <f>questionnaire!B917</f>
        <v/>
      </c>
      <c r="C917" s="9" t="str">
        <f>questionnaire!C917</f>
        <v/>
      </c>
      <c r="D917" s="9" t="str">
        <f>questionnaire!D917</f>
        <v/>
      </c>
      <c r="E917" s="9" t="str">
        <f>questionnaire!E917</f>
        <v/>
      </c>
      <c r="F917" s="9">
        <f>8-questionnaire!F917</f>
        <v>8</v>
      </c>
      <c r="G917" s="9">
        <f>8-questionnaire!G917</f>
        <v>8</v>
      </c>
      <c r="H917" s="9">
        <f>8-questionnaire!H917</f>
        <v>8</v>
      </c>
      <c r="I917" s="9">
        <f>C917*10+D917*5+E917*1.66-(questionnaire!F917*1.66+questionnaire!G917*5+questionnaire!H917*10)</f>
        <v>0</v>
      </c>
    </row>
    <row r="918">
      <c r="A918" s="8" t="str">
        <f>questionnaire!A918</f>
        <v/>
      </c>
      <c r="B918" s="9" t="str">
        <f>questionnaire!B918</f>
        <v/>
      </c>
      <c r="C918" s="9" t="str">
        <f>questionnaire!C918</f>
        <v/>
      </c>
      <c r="D918" s="9" t="str">
        <f>questionnaire!D918</f>
        <v/>
      </c>
      <c r="E918" s="9" t="str">
        <f>questionnaire!E918</f>
        <v/>
      </c>
      <c r="F918" s="9">
        <f>8-questionnaire!F918</f>
        <v>8</v>
      </c>
      <c r="G918" s="9">
        <f>8-questionnaire!G918</f>
        <v>8</v>
      </c>
      <c r="H918" s="9">
        <f>8-questionnaire!H918</f>
        <v>8</v>
      </c>
      <c r="I918" s="9">
        <f>C918*10+D918*5+E918*1.66-(questionnaire!F918*1.66+questionnaire!G918*5+questionnaire!H918*10)</f>
        <v>0</v>
      </c>
    </row>
    <row r="919">
      <c r="A919" s="8" t="str">
        <f>questionnaire!A919</f>
        <v/>
      </c>
      <c r="B919" s="9" t="str">
        <f>questionnaire!B919</f>
        <v/>
      </c>
      <c r="C919" s="9" t="str">
        <f>questionnaire!C919</f>
        <v/>
      </c>
      <c r="D919" s="9" t="str">
        <f>questionnaire!D919</f>
        <v/>
      </c>
      <c r="E919" s="9" t="str">
        <f>questionnaire!E919</f>
        <v/>
      </c>
      <c r="F919" s="9">
        <f>8-questionnaire!F919</f>
        <v>8</v>
      </c>
      <c r="G919" s="9">
        <f>8-questionnaire!G919</f>
        <v>8</v>
      </c>
      <c r="H919" s="9">
        <f>8-questionnaire!H919</f>
        <v>8</v>
      </c>
      <c r="I919" s="9">
        <f>C919*10+D919*5+E919*1.66-(questionnaire!F919*1.66+questionnaire!G919*5+questionnaire!H919*10)</f>
        <v>0</v>
      </c>
    </row>
    <row r="920">
      <c r="A920" s="8" t="str">
        <f>questionnaire!A920</f>
        <v/>
      </c>
      <c r="B920" s="9" t="str">
        <f>questionnaire!B920</f>
        <v/>
      </c>
      <c r="C920" s="9" t="str">
        <f>questionnaire!C920</f>
        <v/>
      </c>
      <c r="D920" s="9" t="str">
        <f>questionnaire!D920</f>
        <v/>
      </c>
      <c r="E920" s="9" t="str">
        <f>questionnaire!E920</f>
        <v/>
      </c>
      <c r="F920" s="9">
        <f>8-questionnaire!F920</f>
        <v>8</v>
      </c>
      <c r="G920" s="9">
        <f>8-questionnaire!G920</f>
        <v>8</v>
      </c>
      <c r="H920" s="9">
        <f>8-questionnaire!H920</f>
        <v>8</v>
      </c>
      <c r="I920" s="9">
        <f>C920*10+D920*5+E920*1.66-(questionnaire!F920*1.66+questionnaire!G920*5+questionnaire!H920*10)</f>
        <v>0</v>
      </c>
    </row>
    <row r="921">
      <c r="A921" s="8" t="str">
        <f>questionnaire!A921</f>
        <v/>
      </c>
      <c r="B921" s="9" t="str">
        <f>questionnaire!B921</f>
        <v/>
      </c>
      <c r="C921" s="9" t="str">
        <f>questionnaire!C921</f>
        <v/>
      </c>
      <c r="D921" s="9" t="str">
        <f>questionnaire!D921</f>
        <v/>
      </c>
      <c r="E921" s="9" t="str">
        <f>questionnaire!E921</f>
        <v/>
      </c>
      <c r="F921" s="9">
        <f>8-questionnaire!F921</f>
        <v>8</v>
      </c>
      <c r="G921" s="9">
        <f>8-questionnaire!G921</f>
        <v>8</v>
      </c>
      <c r="H921" s="9">
        <f>8-questionnaire!H921</f>
        <v>8</v>
      </c>
      <c r="I921" s="9">
        <f>C921*10+D921*5+E921*1.66-(questionnaire!F921*1.66+questionnaire!G921*5+questionnaire!H921*10)</f>
        <v>0</v>
      </c>
    </row>
    <row r="922">
      <c r="A922" s="8" t="str">
        <f>questionnaire!A922</f>
        <v/>
      </c>
      <c r="B922" s="9" t="str">
        <f>questionnaire!B922</f>
        <v/>
      </c>
      <c r="C922" s="9" t="str">
        <f>questionnaire!C922</f>
        <v/>
      </c>
      <c r="D922" s="9" t="str">
        <f>questionnaire!D922</f>
        <v/>
      </c>
      <c r="E922" s="9" t="str">
        <f>questionnaire!E922</f>
        <v/>
      </c>
      <c r="F922" s="9">
        <f>8-questionnaire!F922</f>
        <v>8</v>
      </c>
      <c r="G922" s="9">
        <f>8-questionnaire!G922</f>
        <v>8</v>
      </c>
      <c r="H922" s="9">
        <f>8-questionnaire!H922</f>
        <v>8</v>
      </c>
      <c r="I922" s="9">
        <f>C922*10+D922*5+E922*1.66-(questionnaire!F922*1.66+questionnaire!G922*5+questionnaire!H922*10)</f>
        <v>0</v>
      </c>
    </row>
    <row r="923">
      <c r="A923" s="8" t="str">
        <f>questionnaire!A923</f>
        <v/>
      </c>
      <c r="B923" s="9" t="str">
        <f>questionnaire!B923</f>
        <v/>
      </c>
      <c r="C923" s="9" t="str">
        <f>questionnaire!C923</f>
        <v/>
      </c>
      <c r="D923" s="9" t="str">
        <f>questionnaire!D923</f>
        <v/>
      </c>
      <c r="E923" s="9" t="str">
        <f>questionnaire!E923</f>
        <v/>
      </c>
      <c r="F923" s="9">
        <f>8-questionnaire!F923</f>
        <v>8</v>
      </c>
      <c r="G923" s="9">
        <f>8-questionnaire!G923</f>
        <v>8</v>
      </c>
      <c r="H923" s="9">
        <f>8-questionnaire!H923</f>
        <v>8</v>
      </c>
      <c r="I923" s="9">
        <f>C923*10+D923*5+E923*1.66-(questionnaire!F923*1.66+questionnaire!G923*5+questionnaire!H923*10)</f>
        <v>0</v>
      </c>
    </row>
    <row r="924">
      <c r="A924" s="8" t="str">
        <f>questionnaire!A924</f>
        <v/>
      </c>
      <c r="B924" s="9" t="str">
        <f>questionnaire!B924</f>
        <v/>
      </c>
      <c r="C924" s="9" t="str">
        <f>questionnaire!C924</f>
        <v/>
      </c>
      <c r="D924" s="9" t="str">
        <f>questionnaire!D924</f>
        <v/>
      </c>
      <c r="E924" s="9" t="str">
        <f>questionnaire!E924</f>
        <v/>
      </c>
      <c r="F924" s="9">
        <f>8-questionnaire!F924</f>
        <v>8</v>
      </c>
      <c r="G924" s="9">
        <f>8-questionnaire!G924</f>
        <v>8</v>
      </c>
      <c r="H924" s="9">
        <f>8-questionnaire!H924</f>
        <v>8</v>
      </c>
      <c r="I924" s="9">
        <f>C924*10+D924*5+E924*1.66-(questionnaire!F924*1.66+questionnaire!G924*5+questionnaire!H924*10)</f>
        <v>0</v>
      </c>
    </row>
    <row r="925">
      <c r="A925" s="8" t="str">
        <f>questionnaire!A925</f>
        <v/>
      </c>
      <c r="B925" s="9" t="str">
        <f>questionnaire!B925</f>
        <v/>
      </c>
      <c r="C925" s="9" t="str">
        <f>questionnaire!C925</f>
        <v/>
      </c>
      <c r="D925" s="9" t="str">
        <f>questionnaire!D925</f>
        <v/>
      </c>
      <c r="E925" s="9" t="str">
        <f>questionnaire!E925</f>
        <v/>
      </c>
      <c r="F925" s="9">
        <f>8-questionnaire!F925</f>
        <v>8</v>
      </c>
      <c r="G925" s="9">
        <f>8-questionnaire!G925</f>
        <v>8</v>
      </c>
      <c r="H925" s="9">
        <f>8-questionnaire!H925</f>
        <v>8</v>
      </c>
      <c r="I925" s="9">
        <f>C925*10+D925*5+E925*1.66-(questionnaire!F925*1.66+questionnaire!G925*5+questionnaire!H925*10)</f>
        <v>0</v>
      </c>
    </row>
    <row r="926">
      <c r="A926" s="8" t="str">
        <f>questionnaire!A926</f>
        <v/>
      </c>
      <c r="B926" s="9" t="str">
        <f>questionnaire!B926</f>
        <v/>
      </c>
      <c r="C926" s="9" t="str">
        <f>questionnaire!C926</f>
        <v/>
      </c>
      <c r="D926" s="9" t="str">
        <f>questionnaire!D926</f>
        <v/>
      </c>
      <c r="E926" s="9" t="str">
        <f>questionnaire!E926</f>
        <v/>
      </c>
      <c r="F926" s="9">
        <f>8-questionnaire!F926</f>
        <v>8</v>
      </c>
      <c r="G926" s="9">
        <f>8-questionnaire!G926</f>
        <v>8</v>
      </c>
      <c r="H926" s="9">
        <f>8-questionnaire!H926</f>
        <v>8</v>
      </c>
      <c r="I926" s="9">
        <f>C926*10+D926*5+E926*1.66-(questionnaire!F926*1.66+questionnaire!G926*5+questionnaire!H926*10)</f>
        <v>0</v>
      </c>
    </row>
    <row r="927">
      <c r="A927" s="8" t="str">
        <f>questionnaire!A927</f>
        <v/>
      </c>
      <c r="B927" s="9" t="str">
        <f>questionnaire!B927</f>
        <v/>
      </c>
      <c r="C927" s="9" t="str">
        <f>questionnaire!C927</f>
        <v/>
      </c>
      <c r="D927" s="9" t="str">
        <f>questionnaire!D927</f>
        <v/>
      </c>
      <c r="E927" s="9" t="str">
        <f>questionnaire!E927</f>
        <v/>
      </c>
      <c r="F927" s="9">
        <f>8-questionnaire!F927</f>
        <v>8</v>
      </c>
      <c r="G927" s="9">
        <f>8-questionnaire!G927</f>
        <v>8</v>
      </c>
      <c r="H927" s="9">
        <f>8-questionnaire!H927</f>
        <v>8</v>
      </c>
      <c r="I927" s="9">
        <f>C927*10+D927*5+E927*1.66-(questionnaire!F927*1.66+questionnaire!G927*5+questionnaire!H927*10)</f>
        <v>0</v>
      </c>
    </row>
    <row r="928">
      <c r="A928" s="8" t="str">
        <f>questionnaire!A928</f>
        <v/>
      </c>
      <c r="B928" s="9" t="str">
        <f>questionnaire!B928</f>
        <v/>
      </c>
      <c r="C928" s="9" t="str">
        <f>questionnaire!C928</f>
        <v/>
      </c>
      <c r="D928" s="9" t="str">
        <f>questionnaire!D928</f>
        <v/>
      </c>
      <c r="E928" s="9" t="str">
        <f>questionnaire!E928</f>
        <v/>
      </c>
      <c r="F928" s="9">
        <f>8-questionnaire!F928</f>
        <v>8</v>
      </c>
      <c r="G928" s="9">
        <f>8-questionnaire!G928</f>
        <v>8</v>
      </c>
      <c r="H928" s="9">
        <f>8-questionnaire!H928</f>
        <v>8</v>
      </c>
      <c r="I928" s="9">
        <f>C928*10+D928*5+E928*1.66-(questionnaire!F928*1.66+questionnaire!G928*5+questionnaire!H928*10)</f>
        <v>0</v>
      </c>
    </row>
    <row r="929">
      <c r="A929" s="8" t="str">
        <f>questionnaire!A929</f>
        <v/>
      </c>
      <c r="B929" s="9" t="str">
        <f>questionnaire!B929</f>
        <v/>
      </c>
      <c r="C929" s="9" t="str">
        <f>questionnaire!C929</f>
        <v/>
      </c>
      <c r="D929" s="9" t="str">
        <f>questionnaire!D929</f>
        <v/>
      </c>
      <c r="E929" s="9" t="str">
        <f>questionnaire!E929</f>
        <v/>
      </c>
      <c r="F929" s="9">
        <f>8-questionnaire!F929</f>
        <v>8</v>
      </c>
      <c r="G929" s="9">
        <f>8-questionnaire!G929</f>
        <v>8</v>
      </c>
      <c r="H929" s="9">
        <f>8-questionnaire!H929</f>
        <v>8</v>
      </c>
      <c r="I929" s="9">
        <f>C929*10+D929*5+E929*1.66-(questionnaire!F929*1.66+questionnaire!G929*5+questionnaire!H929*10)</f>
        <v>0</v>
      </c>
    </row>
    <row r="930">
      <c r="A930" s="8" t="str">
        <f>questionnaire!A930</f>
        <v/>
      </c>
      <c r="B930" s="9" t="str">
        <f>questionnaire!B930</f>
        <v/>
      </c>
      <c r="C930" s="9" t="str">
        <f>questionnaire!C930</f>
        <v/>
      </c>
      <c r="D930" s="9" t="str">
        <f>questionnaire!D930</f>
        <v/>
      </c>
      <c r="E930" s="9" t="str">
        <f>questionnaire!E930</f>
        <v/>
      </c>
      <c r="F930" s="9">
        <f>8-questionnaire!F930</f>
        <v>8</v>
      </c>
      <c r="G930" s="9">
        <f>8-questionnaire!G930</f>
        <v>8</v>
      </c>
      <c r="H930" s="9">
        <f>8-questionnaire!H930</f>
        <v>8</v>
      </c>
      <c r="I930" s="9">
        <f>C930*10+D930*5+E930*1.66-(questionnaire!F930*1.66+questionnaire!G930*5+questionnaire!H930*10)</f>
        <v>0</v>
      </c>
    </row>
    <row r="931">
      <c r="A931" s="8" t="str">
        <f>questionnaire!A931</f>
        <v/>
      </c>
      <c r="B931" s="9" t="str">
        <f>questionnaire!B931</f>
        <v/>
      </c>
      <c r="C931" s="9" t="str">
        <f>questionnaire!C931</f>
        <v/>
      </c>
      <c r="D931" s="9" t="str">
        <f>questionnaire!D931</f>
        <v/>
      </c>
      <c r="E931" s="9" t="str">
        <f>questionnaire!E931</f>
        <v/>
      </c>
      <c r="F931" s="9">
        <f>8-questionnaire!F931</f>
        <v>8</v>
      </c>
      <c r="G931" s="9">
        <f>8-questionnaire!G931</f>
        <v>8</v>
      </c>
      <c r="H931" s="9">
        <f>8-questionnaire!H931</f>
        <v>8</v>
      </c>
      <c r="I931" s="9">
        <f>C931*10+D931*5+E931*1.66-(questionnaire!F931*1.66+questionnaire!G931*5+questionnaire!H931*10)</f>
        <v>0</v>
      </c>
    </row>
    <row r="932">
      <c r="A932" s="8" t="str">
        <f>questionnaire!A932</f>
        <v/>
      </c>
      <c r="B932" s="9" t="str">
        <f>questionnaire!B932</f>
        <v/>
      </c>
      <c r="C932" s="9" t="str">
        <f>questionnaire!C932</f>
        <v/>
      </c>
      <c r="D932" s="9" t="str">
        <f>questionnaire!D932</f>
        <v/>
      </c>
      <c r="E932" s="9" t="str">
        <f>questionnaire!E932</f>
        <v/>
      </c>
      <c r="F932" s="9">
        <f>8-questionnaire!F932</f>
        <v>8</v>
      </c>
      <c r="G932" s="9">
        <f>8-questionnaire!G932</f>
        <v>8</v>
      </c>
      <c r="H932" s="9">
        <f>8-questionnaire!H932</f>
        <v>8</v>
      </c>
      <c r="I932" s="9">
        <f>C932*10+D932*5+E932*1.66-(questionnaire!F932*1.66+questionnaire!G932*5+questionnaire!H932*10)</f>
        <v>0</v>
      </c>
    </row>
    <row r="933">
      <c r="A933" s="8" t="str">
        <f>questionnaire!A933</f>
        <v/>
      </c>
      <c r="B933" s="9" t="str">
        <f>questionnaire!B933</f>
        <v/>
      </c>
      <c r="C933" s="9" t="str">
        <f>questionnaire!C933</f>
        <v/>
      </c>
      <c r="D933" s="9" t="str">
        <f>questionnaire!D933</f>
        <v/>
      </c>
      <c r="E933" s="9" t="str">
        <f>questionnaire!E933</f>
        <v/>
      </c>
      <c r="F933" s="9">
        <f>8-questionnaire!F933</f>
        <v>8</v>
      </c>
      <c r="G933" s="9">
        <f>8-questionnaire!G933</f>
        <v>8</v>
      </c>
      <c r="H933" s="9">
        <f>8-questionnaire!H933</f>
        <v>8</v>
      </c>
      <c r="I933" s="9">
        <f>C933*10+D933*5+E933*1.66-(questionnaire!F933*1.66+questionnaire!G933*5+questionnaire!H933*10)</f>
        <v>0</v>
      </c>
    </row>
    <row r="934">
      <c r="A934" s="8" t="str">
        <f>questionnaire!A934</f>
        <v/>
      </c>
      <c r="B934" s="9" t="str">
        <f>questionnaire!B934</f>
        <v/>
      </c>
      <c r="C934" s="9" t="str">
        <f>questionnaire!C934</f>
        <v/>
      </c>
      <c r="D934" s="9" t="str">
        <f>questionnaire!D934</f>
        <v/>
      </c>
      <c r="E934" s="9" t="str">
        <f>questionnaire!E934</f>
        <v/>
      </c>
      <c r="F934" s="9">
        <f>8-questionnaire!F934</f>
        <v>8</v>
      </c>
      <c r="G934" s="9">
        <f>8-questionnaire!G934</f>
        <v>8</v>
      </c>
      <c r="H934" s="9">
        <f>8-questionnaire!H934</f>
        <v>8</v>
      </c>
      <c r="I934" s="9">
        <f>C934*10+D934*5+E934*1.66-(questionnaire!F934*1.66+questionnaire!G934*5+questionnaire!H934*10)</f>
        <v>0</v>
      </c>
    </row>
    <row r="935">
      <c r="A935" s="8" t="str">
        <f>questionnaire!A935</f>
        <v/>
      </c>
      <c r="B935" s="9" t="str">
        <f>questionnaire!B935</f>
        <v/>
      </c>
      <c r="C935" s="9" t="str">
        <f>questionnaire!C935</f>
        <v/>
      </c>
      <c r="D935" s="9" t="str">
        <f>questionnaire!D935</f>
        <v/>
      </c>
      <c r="E935" s="9" t="str">
        <f>questionnaire!E935</f>
        <v/>
      </c>
      <c r="F935" s="9">
        <f>8-questionnaire!F935</f>
        <v>8</v>
      </c>
      <c r="G935" s="9">
        <f>8-questionnaire!G935</f>
        <v>8</v>
      </c>
      <c r="H935" s="9">
        <f>8-questionnaire!H935</f>
        <v>8</v>
      </c>
      <c r="I935" s="9">
        <f>C935*10+D935*5+E935*1.66-(questionnaire!F935*1.66+questionnaire!G935*5+questionnaire!H935*10)</f>
        <v>0</v>
      </c>
    </row>
    <row r="936">
      <c r="A936" s="8" t="str">
        <f>questionnaire!A936</f>
        <v/>
      </c>
      <c r="B936" s="9" t="str">
        <f>questionnaire!B936</f>
        <v/>
      </c>
      <c r="C936" s="9" t="str">
        <f>questionnaire!C936</f>
        <v/>
      </c>
      <c r="D936" s="9" t="str">
        <f>questionnaire!D936</f>
        <v/>
      </c>
      <c r="E936" s="9" t="str">
        <f>questionnaire!E936</f>
        <v/>
      </c>
      <c r="F936" s="9">
        <f>8-questionnaire!F936</f>
        <v>8</v>
      </c>
      <c r="G936" s="9">
        <f>8-questionnaire!G936</f>
        <v>8</v>
      </c>
      <c r="H936" s="9">
        <f>8-questionnaire!H936</f>
        <v>8</v>
      </c>
      <c r="I936" s="9">
        <f>C936*10+D936*5+E936*1.66-(questionnaire!F936*1.66+questionnaire!G936*5+questionnaire!H936*10)</f>
        <v>0</v>
      </c>
    </row>
    <row r="937">
      <c r="A937" s="8" t="str">
        <f>questionnaire!A937</f>
        <v/>
      </c>
      <c r="B937" s="9" t="str">
        <f>questionnaire!B937</f>
        <v/>
      </c>
      <c r="C937" s="9" t="str">
        <f>questionnaire!C937</f>
        <v/>
      </c>
      <c r="D937" s="9" t="str">
        <f>questionnaire!D937</f>
        <v/>
      </c>
      <c r="E937" s="9" t="str">
        <f>questionnaire!E937</f>
        <v/>
      </c>
      <c r="F937" s="9">
        <f>8-questionnaire!F937</f>
        <v>8</v>
      </c>
      <c r="G937" s="9">
        <f>8-questionnaire!G937</f>
        <v>8</v>
      </c>
      <c r="H937" s="9">
        <f>8-questionnaire!H937</f>
        <v>8</v>
      </c>
      <c r="I937" s="9">
        <f>C937*10+D937*5+E937*1.66-(questionnaire!F937*1.66+questionnaire!G937*5+questionnaire!H937*10)</f>
        <v>0</v>
      </c>
    </row>
    <row r="938">
      <c r="A938" s="8" t="str">
        <f>questionnaire!A938</f>
        <v/>
      </c>
      <c r="B938" s="9" t="str">
        <f>questionnaire!B938</f>
        <v/>
      </c>
      <c r="C938" s="9" t="str">
        <f>questionnaire!C938</f>
        <v/>
      </c>
      <c r="D938" s="9" t="str">
        <f>questionnaire!D938</f>
        <v/>
      </c>
      <c r="E938" s="9" t="str">
        <f>questionnaire!E938</f>
        <v/>
      </c>
      <c r="F938" s="9">
        <f>8-questionnaire!F938</f>
        <v>8</v>
      </c>
      <c r="G938" s="9">
        <f>8-questionnaire!G938</f>
        <v>8</v>
      </c>
      <c r="H938" s="9">
        <f>8-questionnaire!H938</f>
        <v>8</v>
      </c>
      <c r="I938" s="9">
        <f>C938*10+D938*5+E938*1.66-(questionnaire!F938*1.66+questionnaire!G938*5+questionnaire!H938*10)</f>
        <v>0</v>
      </c>
    </row>
    <row r="939">
      <c r="A939" s="8" t="str">
        <f>questionnaire!A939</f>
        <v/>
      </c>
      <c r="B939" s="9" t="str">
        <f>questionnaire!B939</f>
        <v/>
      </c>
      <c r="C939" s="9" t="str">
        <f>questionnaire!C939</f>
        <v/>
      </c>
      <c r="D939" s="9" t="str">
        <f>questionnaire!D939</f>
        <v/>
      </c>
      <c r="E939" s="9" t="str">
        <f>questionnaire!E939</f>
        <v/>
      </c>
      <c r="F939" s="9">
        <f>8-questionnaire!F939</f>
        <v>8</v>
      </c>
      <c r="G939" s="9">
        <f>8-questionnaire!G939</f>
        <v>8</v>
      </c>
      <c r="H939" s="9">
        <f>8-questionnaire!H939</f>
        <v>8</v>
      </c>
      <c r="I939" s="9">
        <f>C939*10+D939*5+E939*1.66-(questionnaire!F939*1.66+questionnaire!G939*5+questionnaire!H939*10)</f>
        <v>0</v>
      </c>
    </row>
    <row r="940">
      <c r="A940" s="8" t="str">
        <f>questionnaire!A940</f>
        <v/>
      </c>
      <c r="B940" s="9" t="str">
        <f>questionnaire!B940</f>
        <v/>
      </c>
      <c r="C940" s="9" t="str">
        <f>questionnaire!C940</f>
        <v/>
      </c>
      <c r="D940" s="9" t="str">
        <f>questionnaire!D940</f>
        <v/>
      </c>
      <c r="E940" s="9" t="str">
        <f>questionnaire!E940</f>
        <v/>
      </c>
      <c r="F940" s="9">
        <f>8-questionnaire!F940</f>
        <v>8</v>
      </c>
      <c r="G940" s="9">
        <f>8-questionnaire!G940</f>
        <v>8</v>
      </c>
      <c r="H940" s="9">
        <f>8-questionnaire!H940</f>
        <v>8</v>
      </c>
      <c r="I940" s="9">
        <f>C940*10+D940*5+E940*1.66-(questionnaire!F940*1.66+questionnaire!G940*5+questionnaire!H940*10)</f>
        <v>0</v>
      </c>
    </row>
    <row r="941">
      <c r="A941" s="8" t="str">
        <f>questionnaire!A941</f>
        <v/>
      </c>
      <c r="B941" s="9" t="str">
        <f>questionnaire!B941</f>
        <v/>
      </c>
      <c r="C941" s="9" t="str">
        <f>questionnaire!C941</f>
        <v/>
      </c>
      <c r="D941" s="9" t="str">
        <f>questionnaire!D941</f>
        <v/>
      </c>
      <c r="E941" s="9" t="str">
        <f>questionnaire!E941</f>
        <v/>
      </c>
      <c r="F941" s="9">
        <f>8-questionnaire!F941</f>
        <v>8</v>
      </c>
      <c r="G941" s="9">
        <f>8-questionnaire!G941</f>
        <v>8</v>
      </c>
      <c r="H941" s="9">
        <f>8-questionnaire!H941</f>
        <v>8</v>
      </c>
      <c r="I941" s="9">
        <f>C941*10+D941*5+E941*1.66-(questionnaire!F941*1.66+questionnaire!G941*5+questionnaire!H941*10)</f>
        <v>0</v>
      </c>
    </row>
    <row r="942">
      <c r="A942" s="8" t="str">
        <f>questionnaire!A942</f>
        <v/>
      </c>
      <c r="B942" s="9" t="str">
        <f>questionnaire!B942</f>
        <v/>
      </c>
      <c r="C942" s="9" t="str">
        <f>questionnaire!C942</f>
        <v/>
      </c>
      <c r="D942" s="9" t="str">
        <f>questionnaire!D942</f>
        <v/>
      </c>
      <c r="E942" s="9" t="str">
        <f>questionnaire!E942</f>
        <v/>
      </c>
      <c r="F942" s="9">
        <f>8-questionnaire!F942</f>
        <v>8</v>
      </c>
      <c r="G942" s="9">
        <f>8-questionnaire!G942</f>
        <v>8</v>
      </c>
      <c r="H942" s="9">
        <f>8-questionnaire!H942</f>
        <v>8</v>
      </c>
      <c r="I942" s="9">
        <f>C942*10+D942*5+E942*1.66-(questionnaire!F942*1.66+questionnaire!G942*5+questionnaire!H942*10)</f>
        <v>0</v>
      </c>
    </row>
    <row r="943">
      <c r="A943" s="8" t="str">
        <f>questionnaire!A943</f>
        <v/>
      </c>
      <c r="B943" s="9" t="str">
        <f>questionnaire!B943</f>
        <v/>
      </c>
      <c r="C943" s="9" t="str">
        <f>questionnaire!C943</f>
        <v/>
      </c>
      <c r="D943" s="9" t="str">
        <f>questionnaire!D943</f>
        <v/>
      </c>
      <c r="E943" s="9" t="str">
        <f>questionnaire!E943</f>
        <v/>
      </c>
      <c r="F943" s="9">
        <f>8-questionnaire!F943</f>
        <v>8</v>
      </c>
      <c r="G943" s="9">
        <f>8-questionnaire!G943</f>
        <v>8</v>
      </c>
      <c r="H943" s="9">
        <f>8-questionnaire!H943</f>
        <v>8</v>
      </c>
      <c r="I943" s="9">
        <f>C943*10+D943*5+E943*1.66-(questionnaire!F943*1.66+questionnaire!G943*5+questionnaire!H943*10)</f>
        <v>0</v>
      </c>
    </row>
    <row r="944">
      <c r="A944" s="8" t="str">
        <f>questionnaire!A944</f>
        <v/>
      </c>
      <c r="B944" s="9" t="str">
        <f>questionnaire!B944</f>
        <v/>
      </c>
      <c r="C944" s="9" t="str">
        <f>questionnaire!C944</f>
        <v/>
      </c>
      <c r="D944" s="9" t="str">
        <f>questionnaire!D944</f>
        <v/>
      </c>
      <c r="E944" s="9" t="str">
        <f>questionnaire!E944</f>
        <v/>
      </c>
      <c r="F944" s="9">
        <f>8-questionnaire!F944</f>
        <v>8</v>
      </c>
      <c r="G944" s="9">
        <f>8-questionnaire!G944</f>
        <v>8</v>
      </c>
      <c r="H944" s="9">
        <f>8-questionnaire!H944</f>
        <v>8</v>
      </c>
      <c r="I944" s="9">
        <f>C944*10+D944*5+E944*1.66-(questionnaire!F944*1.66+questionnaire!G944*5+questionnaire!H944*10)</f>
        <v>0</v>
      </c>
    </row>
    <row r="945">
      <c r="A945" s="8" t="str">
        <f>questionnaire!A945</f>
        <v/>
      </c>
      <c r="B945" s="9" t="str">
        <f>questionnaire!B945</f>
        <v/>
      </c>
      <c r="C945" s="9" t="str">
        <f>questionnaire!C945</f>
        <v/>
      </c>
      <c r="D945" s="9" t="str">
        <f>questionnaire!D945</f>
        <v/>
      </c>
      <c r="E945" s="9" t="str">
        <f>questionnaire!E945</f>
        <v/>
      </c>
      <c r="F945" s="9">
        <f>8-questionnaire!F945</f>
        <v>8</v>
      </c>
      <c r="G945" s="9">
        <f>8-questionnaire!G945</f>
        <v>8</v>
      </c>
      <c r="H945" s="9">
        <f>8-questionnaire!H945</f>
        <v>8</v>
      </c>
      <c r="I945" s="9">
        <f>C945*10+D945*5+E945*1.66-(questionnaire!F945*1.66+questionnaire!G945*5+questionnaire!H945*10)</f>
        <v>0</v>
      </c>
    </row>
    <row r="946">
      <c r="A946" s="8" t="str">
        <f>questionnaire!A946</f>
        <v/>
      </c>
      <c r="B946" s="9" t="str">
        <f>questionnaire!B946</f>
        <v/>
      </c>
      <c r="C946" s="9" t="str">
        <f>questionnaire!C946</f>
        <v/>
      </c>
      <c r="D946" s="9" t="str">
        <f>questionnaire!D946</f>
        <v/>
      </c>
      <c r="E946" s="9" t="str">
        <f>questionnaire!E946</f>
        <v/>
      </c>
      <c r="F946" s="9">
        <f>8-questionnaire!F946</f>
        <v>8</v>
      </c>
      <c r="G946" s="9">
        <f>8-questionnaire!G946</f>
        <v>8</v>
      </c>
      <c r="H946" s="9">
        <f>8-questionnaire!H946</f>
        <v>8</v>
      </c>
      <c r="I946" s="9">
        <f>C946*10+D946*5+E946*1.66-(questionnaire!F946*1.66+questionnaire!G946*5+questionnaire!H946*10)</f>
        <v>0</v>
      </c>
    </row>
    <row r="947">
      <c r="A947" s="8" t="str">
        <f>questionnaire!A947</f>
        <v/>
      </c>
      <c r="B947" s="9" t="str">
        <f>questionnaire!B947</f>
        <v/>
      </c>
      <c r="C947" s="9" t="str">
        <f>questionnaire!C947</f>
        <v/>
      </c>
      <c r="D947" s="9" t="str">
        <f>questionnaire!D947</f>
        <v/>
      </c>
      <c r="E947" s="9" t="str">
        <f>questionnaire!E947</f>
        <v/>
      </c>
      <c r="F947" s="9">
        <f>8-questionnaire!F947</f>
        <v>8</v>
      </c>
      <c r="G947" s="9">
        <f>8-questionnaire!G947</f>
        <v>8</v>
      </c>
      <c r="H947" s="9">
        <f>8-questionnaire!H947</f>
        <v>8</v>
      </c>
      <c r="I947" s="9">
        <f>C947*10+D947*5+E947*1.66-(questionnaire!F947*1.66+questionnaire!G947*5+questionnaire!H947*10)</f>
        <v>0</v>
      </c>
    </row>
    <row r="948">
      <c r="A948" s="8" t="str">
        <f>questionnaire!A948</f>
        <v/>
      </c>
      <c r="B948" s="9" t="str">
        <f>questionnaire!B948</f>
        <v/>
      </c>
      <c r="C948" s="9" t="str">
        <f>questionnaire!C948</f>
        <v/>
      </c>
      <c r="D948" s="9" t="str">
        <f>questionnaire!D948</f>
        <v/>
      </c>
      <c r="E948" s="9" t="str">
        <f>questionnaire!E948</f>
        <v/>
      </c>
      <c r="F948" s="9">
        <f>8-questionnaire!F948</f>
        <v>8</v>
      </c>
      <c r="G948" s="9">
        <f>8-questionnaire!G948</f>
        <v>8</v>
      </c>
      <c r="H948" s="9">
        <f>8-questionnaire!H948</f>
        <v>8</v>
      </c>
      <c r="I948" s="9">
        <f>C948*10+D948*5+E948*1.66-(questionnaire!F948*1.66+questionnaire!G948*5+questionnaire!H948*10)</f>
        <v>0</v>
      </c>
    </row>
    <row r="949">
      <c r="A949" s="8" t="str">
        <f>questionnaire!A949</f>
        <v/>
      </c>
      <c r="B949" s="9" t="str">
        <f>questionnaire!B949</f>
        <v/>
      </c>
      <c r="C949" s="9" t="str">
        <f>questionnaire!C949</f>
        <v/>
      </c>
      <c r="D949" s="9" t="str">
        <f>questionnaire!D949</f>
        <v/>
      </c>
      <c r="E949" s="9" t="str">
        <f>questionnaire!E949</f>
        <v/>
      </c>
      <c r="F949" s="9">
        <f>8-questionnaire!F949</f>
        <v>8</v>
      </c>
      <c r="G949" s="9">
        <f>8-questionnaire!G949</f>
        <v>8</v>
      </c>
      <c r="H949" s="9">
        <f>8-questionnaire!H949</f>
        <v>8</v>
      </c>
      <c r="I949" s="9">
        <f>C949*10+D949*5+E949*1.66-(questionnaire!F949*1.66+questionnaire!G949*5+questionnaire!H949*10)</f>
        <v>0</v>
      </c>
    </row>
    <row r="950">
      <c r="A950" s="8" t="str">
        <f>questionnaire!A950</f>
        <v/>
      </c>
      <c r="B950" s="9" t="str">
        <f>questionnaire!B950</f>
        <v/>
      </c>
      <c r="C950" s="9" t="str">
        <f>questionnaire!C950</f>
        <v/>
      </c>
      <c r="D950" s="9" t="str">
        <f>questionnaire!D950</f>
        <v/>
      </c>
      <c r="E950" s="9" t="str">
        <f>questionnaire!E950</f>
        <v/>
      </c>
      <c r="F950" s="9">
        <f>8-questionnaire!F950</f>
        <v>8</v>
      </c>
      <c r="G950" s="9">
        <f>8-questionnaire!G950</f>
        <v>8</v>
      </c>
      <c r="H950" s="9">
        <f>8-questionnaire!H950</f>
        <v>8</v>
      </c>
      <c r="I950" s="9">
        <f>C950*10+D950*5+E950*1.66-(questionnaire!F950*1.66+questionnaire!G950*5+questionnaire!H950*10)</f>
        <v>0</v>
      </c>
    </row>
    <row r="951">
      <c r="A951" s="8" t="str">
        <f>questionnaire!A951</f>
        <v/>
      </c>
      <c r="B951" s="9" t="str">
        <f>questionnaire!B951</f>
        <v/>
      </c>
      <c r="C951" s="9" t="str">
        <f>questionnaire!C951</f>
        <v/>
      </c>
      <c r="D951" s="9" t="str">
        <f>questionnaire!D951</f>
        <v/>
      </c>
      <c r="E951" s="9" t="str">
        <f>questionnaire!E951</f>
        <v/>
      </c>
      <c r="F951" s="9">
        <f>8-questionnaire!F951</f>
        <v>8</v>
      </c>
      <c r="G951" s="9">
        <f>8-questionnaire!G951</f>
        <v>8</v>
      </c>
      <c r="H951" s="9">
        <f>8-questionnaire!H951</f>
        <v>8</v>
      </c>
      <c r="I951" s="9">
        <f>C951*10+D951*5+E951*1.66-(questionnaire!F951*1.66+questionnaire!G951*5+questionnaire!H951*10)</f>
        <v>0</v>
      </c>
    </row>
    <row r="952">
      <c r="A952" s="8" t="str">
        <f>questionnaire!A952</f>
        <v/>
      </c>
      <c r="B952" s="9" t="str">
        <f>questionnaire!B952</f>
        <v/>
      </c>
      <c r="C952" s="9" t="str">
        <f>questionnaire!C952</f>
        <v/>
      </c>
      <c r="D952" s="9" t="str">
        <f>questionnaire!D952</f>
        <v/>
      </c>
      <c r="E952" s="9" t="str">
        <f>questionnaire!E952</f>
        <v/>
      </c>
      <c r="F952" s="9">
        <f>8-questionnaire!F952</f>
        <v>8</v>
      </c>
      <c r="G952" s="9">
        <f>8-questionnaire!G952</f>
        <v>8</v>
      </c>
      <c r="H952" s="9">
        <f>8-questionnaire!H952</f>
        <v>8</v>
      </c>
      <c r="I952" s="9">
        <f>C952*10+D952*5+E952*1.66-(questionnaire!F952*1.66+questionnaire!G952*5+questionnaire!H952*10)</f>
        <v>0</v>
      </c>
    </row>
    <row r="953">
      <c r="A953" s="8" t="str">
        <f>questionnaire!A953</f>
        <v/>
      </c>
      <c r="B953" s="9" t="str">
        <f>questionnaire!B953</f>
        <v/>
      </c>
      <c r="C953" s="9" t="str">
        <f>questionnaire!C953</f>
        <v/>
      </c>
      <c r="D953" s="9" t="str">
        <f>questionnaire!D953</f>
        <v/>
      </c>
      <c r="E953" s="9" t="str">
        <f>questionnaire!E953</f>
        <v/>
      </c>
      <c r="F953" s="9">
        <f>8-questionnaire!F953</f>
        <v>8</v>
      </c>
      <c r="G953" s="9">
        <f>8-questionnaire!G953</f>
        <v>8</v>
      </c>
      <c r="H953" s="9">
        <f>8-questionnaire!H953</f>
        <v>8</v>
      </c>
      <c r="I953" s="9">
        <f>C953*10+D953*5+E953*1.66-(questionnaire!F953*1.66+questionnaire!G953*5+questionnaire!H953*10)</f>
        <v>0</v>
      </c>
    </row>
    <row r="954">
      <c r="A954" s="8" t="str">
        <f>questionnaire!A954</f>
        <v/>
      </c>
      <c r="B954" s="9" t="str">
        <f>questionnaire!B954</f>
        <v/>
      </c>
      <c r="C954" s="9" t="str">
        <f>questionnaire!C954</f>
        <v/>
      </c>
      <c r="D954" s="9" t="str">
        <f>questionnaire!D954</f>
        <v/>
      </c>
      <c r="E954" s="9" t="str">
        <f>questionnaire!E954</f>
        <v/>
      </c>
      <c r="F954" s="9">
        <f>8-questionnaire!F954</f>
        <v>8</v>
      </c>
      <c r="G954" s="9">
        <f>8-questionnaire!G954</f>
        <v>8</v>
      </c>
      <c r="H954" s="9">
        <f>8-questionnaire!H954</f>
        <v>8</v>
      </c>
      <c r="I954" s="9">
        <f>C954*10+D954*5+E954*1.66-(questionnaire!F954*1.66+questionnaire!G954*5+questionnaire!H954*10)</f>
        <v>0</v>
      </c>
    </row>
    <row r="955">
      <c r="A955" s="8" t="str">
        <f>questionnaire!A955</f>
        <v/>
      </c>
      <c r="B955" s="9" t="str">
        <f>questionnaire!B955</f>
        <v/>
      </c>
      <c r="C955" s="9" t="str">
        <f>questionnaire!C955</f>
        <v/>
      </c>
      <c r="D955" s="9" t="str">
        <f>questionnaire!D955</f>
        <v/>
      </c>
      <c r="E955" s="9" t="str">
        <f>questionnaire!E955</f>
        <v/>
      </c>
      <c r="F955" s="9">
        <f>8-questionnaire!F955</f>
        <v>8</v>
      </c>
      <c r="G955" s="9">
        <f>8-questionnaire!G955</f>
        <v>8</v>
      </c>
      <c r="H955" s="9">
        <f>8-questionnaire!H955</f>
        <v>8</v>
      </c>
      <c r="I955" s="9">
        <f>C955*10+D955*5+E955*1.66-(questionnaire!F955*1.66+questionnaire!G955*5+questionnaire!H955*10)</f>
        <v>0</v>
      </c>
    </row>
    <row r="956">
      <c r="A956" s="8" t="str">
        <f>questionnaire!A956</f>
        <v/>
      </c>
      <c r="B956" s="9" t="str">
        <f>questionnaire!B956</f>
        <v/>
      </c>
      <c r="C956" s="9" t="str">
        <f>questionnaire!C956</f>
        <v/>
      </c>
      <c r="D956" s="9" t="str">
        <f>questionnaire!D956</f>
        <v/>
      </c>
      <c r="E956" s="9" t="str">
        <f>questionnaire!E956</f>
        <v/>
      </c>
      <c r="F956" s="9">
        <f>8-questionnaire!F956</f>
        <v>8</v>
      </c>
      <c r="G956" s="9">
        <f>8-questionnaire!G956</f>
        <v>8</v>
      </c>
      <c r="H956" s="9">
        <f>8-questionnaire!H956</f>
        <v>8</v>
      </c>
      <c r="I956" s="9">
        <f>C956*10+D956*5+E956*1.66-(questionnaire!F956*1.66+questionnaire!G956*5+questionnaire!H956*10)</f>
        <v>0</v>
      </c>
    </row>
    <row r="957">
      <c r="A957" s="8" t="str">
        <f>questionnaire!A957</f>
        <v/>
      </c>
      <c r="B957" s="9" t="str">
        <f>questionnaire!B957</f>
        <v/>
      </c>
      <c r="C957" s="9" t="str">
        <f>questionnaire!C957</f>
        <v/>
      </c>
      <c r="D957" s="9" t="str">
        <f>questionnaire!D957</f>
        <v/>
      </c>
      <c r="E957" s="9" t="str">
        <f>questionnaire!E957</f>
        <v/>
      </c>
      <c r="F957" s="9">
        <f>8-questionnaire!F957</f>
        <v>8</v>
      </c>
      <c r="G957" s="9">
        <f>8-questionnaire!G957</f>
        <v>8</v>
      </c>
      <c r="H957" s="9">
        <f>8-questionnaire!H957</f>
        <v>8</v>
      </c>
      <c r="I957" s="9">
        <f>C957*10+D957*5+E957*1.66-(questionnaire!F957*1.66+questionnaire!G957*5+questionnaire!H957*10)</f>
        <v>0</v>
      </c>
    </row>
    <row r="958">
      <c r="A958" s="8" t="str">
        <f>questionnaire!A958</f>
        <v/>
      </c>
      <c r="B958" s="9" t="str">
        <f>questionnaire!B958</f>
        <v/>
      </c>
      <c r="C958" s="9" t="str">
        <f>questionnaire!C958</f>
        <v/>
      </c>
      <c r="D958" s="9" t="str">
        <f>questionnaire!D958</f>
        <v/>
      </c>
      <c r="E958" s="9" t="str">
        <f>questionnaire!E958</f>
        <v/>
      </c>
      <c r="F958" s="9">
        <f>8-questionnaire!F958</f>
        <v>8</v>
      </c>
      <c r="G958" s="9">
        <f>8-questionnaire!G958</f>
        <v>8</v>
      </c>
      <c r="H958" s="9">
        <f>8-questionnaire!H958</f>
        <v>8</v>
      </c>
      <c r="I958" s="9">
        <f>C958*10+D958*5+E958*1.66-(questionnaire!F958*1.66+questionnaire!G958*5+questionnaire!H958*10)</f>
        <v>0</v>
      </c>
    </row>
    <row r="959">
      <c r="A959" s="8" t="str">
        <f>questionnaire!A959</f>
        <v/>
      </c>
      <c r="B959" s="9" t="str">
        <f>questionnaire!B959</f>
        <v/>
      </c>
      <c r="C959" s="9" t="str">
        <f>questionnaire!C959</f>
        <v/>
      </c>
      <c r="D959" s="9" t="str">
        <f>questionnaire!D959</f>
        <v/>
      </c>
      <c r="E959" s="9" t="str">
        <f>questionnaire!E959</f>
        <v/>
      </c>
      <c r="F959" s="9">
        <f>8-questionnaire!F959</f>
        <v>8</v>
      </c>
      <c r="G959" s="9">
        <f>8-questionnaire!G959</f>
        <v>8</v>
      </c>
      <c r="H959" s="9">
        <f>8-questionnaire!H959</f>
        <v>8</v>
      </c>
      <c r="I959" s="9">
        <f>C959*10+D959*5+E959*1.66-(questionnaire!F959*1.66+questionnaire!G959*5+questionnaire!H959*10)</f>
        <v>0</v>
      </c>
    </row>
    <row r="960">
      <c r="A960" s="8" t="str">
        <f>questionnaire!A960</f>
        <v/>
      </c>
      <c r="B960" s="9" t="str">
        <f>questionnaire!B960</f>
        <v/>
      </c>
      <c r="C960" s="9" t="str">
        <f>questionnaire!C960</f>
        <v/>
      </c>
      <c r="D960" s="9" t="str">
        <f>questionnaire!D960</f>
        <v/>
      </c>
      <c r="E960" s="9" t="str">
        <f>questionnaire!E960</f>
        <v/>
      </c>
      <c r="F960" s="9">
        <f>8-questionnaire!F960</f>
        <v>8</v>
      </c>
      <c r="G960" s="9">
        <f>8-questionnaire!G960</f>
        <v>8</v>
      </c>
      <c r="H960" s="9">
        <f>8-questionnaire!H960</f>
        <v>8</v>
      </c>
      <c r="I960" s="9">
        <f>C960*10+D960*5+E960*1.66-(questionnaire!F960*1.66+questionnaire!G960*5+questionnaire!H960*10)</f>
        <v>0</v>
      </c>
    </row>
    <row r="961">
      <c r="A961" s="8" t="str">
        <f>questionnaire!A961</f>
        <v/>
      </c>
      <c r="B961" s="9" t="str">
        <f>questionnaire!B961</f>
        <v/>
      </c>
      <c r="C961" s="9" t="str">
        <f>questionnaire!C961</f>
        <v/>
      </c>
      <c r="D961" s="9" t="str">
        <f>questionnaire!D961</f>
        <v/>
      </c>
      <c r="E961" s="9" t="str">
        <f>questionnaire!E961</f>
        <v/>
      </c>
      <c r="F961" s="9">
        <f>8-questionnaire!F961</f>
        <v>8</v>
      </c>
      <c r="G961" s="9">
        <f>8-questionnaire!G961</f>
        <v>8</v>
      </c>
      <c r="H961" s="9">
        <f>8-questionnaire!H961</f>
        <v>8</v>
      </c>
      <c r="I961" s="9">
        <f>C961*10+D961*5+E961*1.66-(questionnaire!F961*1.66+questionnaire!G961*5+questionnaire!H961*10)</f>
        <v>0</v>
      </c>
    </row>
    <row r="962">
      <c r="A962" s="8" t="str">
        <f>questionnaire!A962</f>
        <v/>
      </c>
      <c r="B962" s="9" t="str">
        <f>questionnaire!B962</f>
        <v/>
      </c>
      <c r="C962" s="9" t="str">
        <f>questionnaire!C962</f>
        <v/>
      </c>
      <c r="D962" s="9" t="str">
        <f>questionnaire!D962</f>
        <v/>
      </c>
      <c r="E962" s="9" t="str">
        <f>questionnaire!E962</f>
        <v/>
      </c>
      <c r="F962" s="9">
        <f>8-questionnaire!F962</f>
        <v>8</v>
      </c>
      <c r="G962" s="9">
        <f>8-questionnaire!G962</f>
        <v>8</v>
      </c>
      <c r="H962" s="9">
        <f>8-questionnaire!H962</f>
        <v>8</v>
      </c>
      <c r="I962" s="9">
        <f>C962*10+D962*5+E962*1.66-(questionnaire!F962*1.66+questionnaire!G962*5+questionnaire!H962*10)</f>
        <v>0</v>
      </c>
    </row>
    <row r="963">
      <c r="A963" s="8" t="str">
        <f>questionnaire!A963</f>
        <v/>
      </c>
      <c r="B963" s="9" t="str">
        <f>questionnaire!B963</f>
        <v/>
      </c>
      <c r="C963" s="9" t="str">
        <f>questionnaire!C963</f>
        <v/>
      </c>
      <c r="D963" s="9" t="str">
        <f>questionnaire!D963</f>
        <v/>
      </c>
      <c r="E963" s="9" t="str">
        <f>questionnaire!E963</f>
        <v/>
      </c>
      <c r="F963" s="9">
        <f>8-questionnaire!F963</f>
        <v>8</v>
      </c>
      <c r="G963" s="9">
        <f>8-questionnaire!G963</f>
        <v>8</v>
      </c>
      <c r="H963" s="9">
        <f>8-questionnaire!H963</f>
        <v>8</v>
      </c>
      <c r="I963" s="9">
        <f>C963*10+D963*5+E963*1.66-(questionnaire!F963*1.66+questionnaire!G963*5+questionnaire!H963*10)</f>
        <v>0</v>
      </c>
    </row>
    <row r="964">
      <c r="A964" s="8" t="str">
        <f>questionnaire!A964</f>
        <v/>
      </c>
      <c r="B964" s="9" t="str">
        <f>questionnaire!B964</f>
        <v/>
      </c>
      <c r="C964" s="9" t="str">
        <f>questionnaire!C964</f>
        <v/>
      </c>
      <c r="D964" s="9" t="str">
        <f>questionnaire!D964</f>
        <v/>
      </c>
      <c r="E964" s="9" t="str">
        <f>questionnaire!E964</f>
        <v/>
      </c>
      <c r="F964" s="9">
        <f>8-questionnaire!F964</f>
        <v>8</v>
      </c>
      <c r="G964" s="9">
        <f>8-questionnaire!G964</f>
        <v>8</v>
      </c>
      <c r="H964" s="9">
        <f>8-questionnaire!H964</f>
        <v>8</v>
      </c>
      <c r="I964" s="9">
        <f>C964*10+D964*5+E964*1.66-(questionnaire!F964*1.66+questionnaire!G964*5+questionnaire!H964*10)</f>
        <v>0</v>
      </c>
    </row>
    <row r="965">
      <c r="A965" s="8" t="str">
        <f>questionnaire!A965</f>
        <v/>
      </c>
      <c r="B965" s="9" t="str">
        <f>questionnaire!B965</f>
        <v/>
      </c>
      <c r="C965" s="9" t="str">
        <f>questionnaire!C965</f>
        <v/>
      </c>
      <c r="D965" s="9" t="str">
        <f>questionnaire!D965</f>
        <v/>
      </c>
      <c r="E965" s="9" t="str">
        <f>questionnaire!E965</f>
        <v/>
      </c>
      <c r="F965" s="9">
        <f>8-questionnaire!F965</f>
        <v>8</v>
      </c>
      <c r="G965" s="9">
        <f>8-questionnaire!G965</f>
        <v>8</v>
      </c>
      <c r="H965" s="9">
        <f>8-questionnaire!H965</f>
        <v>8</v>
      </c>
      <c r="I965" s="9">
        <f>C965*10+D965*5+E965*1.66-(questionnaire!F965*1.66+questionnaire!G965*5+questionnaire!H965*10)</f>
        <v>0</v>
      </c>
    </row>
    <row r="966">
      <c r="A966" s="8" t="str">
        <f>questionnaire!A966</f>
        <v/>
      </c>
      <c r="B966" s="9" t="str">
        <f>questionnaire!B966</f>
        <v/>
      </c>
      <c r="C966" s="9" t="str">
        <f>questionnaire!C966</f>
        <v/>
      </c>
      <c r="D966" s="9" t="str">
        <f>questionnaire!D966</f>
        <v/>
      </c>
      <c r="E966" s="9" t="str">
        <f>questionnaire!E966</f>
        <v/>
      </c>
      <c r="F966" s="9">
        <f>8-questionnaire!F966</f>
        <v>8</v>
      </c>
      <c r="G966" s="9">
        <f>8-questionnaire!G966</f>
        <v>8</v>
      </c>
      <c r="H966" s="9">
        <f>8-questionnaire!H966</f>
        <v>8</v>
      </c>
      <c r="I966" s="9">
        <f>C966*10+D966*5+E966*1.66-(questionnaire!F966*1.66+questionnaire!G966*5+questionnaire!H966*10)</f>
        <v>0</v>
      </c>
    </row>
    <row r="967">
      <c r="A967" s="8" t="str">
        <f>questionnaire!A967</f>
        <v/>
      </c>
      <c r="B967" s="9" t="str">
        <f>questionnaire!B967</f>
        <v/>
      </c>
      <c r="C967" s="9" t="str">
        <f>questionnaire!C967</f>
        <v/>
      </c>
      <c r="D967" s="9" t="str">
        <f>questionnaire!D967</f>
        <v/>
      </c>
      <c r="E967" s="9" t="str">
        <f>questionnaire!E967</f>
        <v/>
      </c>
      <c r="F967" s="9">
        <f>8-questionnaire!F967</f>
        <v>8</v>
      </c>
      <c r="G967" s="9">
        <f>8-questionnaire!G967</f>
        <v>8</v>
      </c>
      <c r="H967" s="9">
        <f>8-questionnaire!H967</f>
        <v>8</v>
      </c>
      <c r="I967" s="9">
        <f>C967*10+D967*5+E967*1.66-(questionnaire!F967*1.66+questionnaire!G967*5+questionnaire!H967*10)</f>
        <v>0</v>
      </c>
    </row>
    <row r="968">
      <c r="A968" s="8" t="str">
        <f>questionnaire!A968</f>
        <v/>
      </c>
      <c r="B968" s="9" t="str">
        <f>questionnaire!B968</f>
        <v/>
      </c>
      <c r="C968" s="9" t="str">
        <f>questionnaire!C968</f>
        <v/>
      </c>
      <c r="D968" s="9" t="str">
        <f>questionnaire!D968</f>
        <v/>
      </c>
      <c r="E968" s="9" t="str">
        <f>questionnaire!E968</f>
        <v/>
      </c>
      <c r="F968" s="9">
        <f>8-questionnaire!F968</f>
        <v>8</v>
      </c>
      <c r="G968" s="9">
        <f>8-questionnaire!G968</f>
        <v>8</v>
      </c>
      <c r="H968" s="9">
        <f>8-questionnaire!H968</f>
        <v>8</v>
      </c>
      <c r="I968" s="9">
        <f>C968*10+D968*5+E968*1.66-(questionnaire!F968*1.66+questionnaire!G968*5+questionnaire!H968*10)</f>
        <v>0</v>
      </c>
    </row>
    <row r="969">
      <c r="A969" s="8" t="str">
        <f>questionnaire!A969</f>
        <v/>
      </c>
      <c r="B969" s="9" t="str">
        <f>questionnaire!B969</f>
        <v/>
      </c>
      <c r="C969" s="9" t="str">
        <f>questionnaire!C969</f>
        <v/>
      </c>
      <c r="D969" s="9" t="str">
        <f>questionnaire!D969</f>
        <v/>
      </c>
      <c r="E969" s="9" t="str">
        <f>questionnaire!E969</f>
        <v/>
      </c>
      <c r="F969" s="9">
        <f>8-questionnaire!F969</f>
        <v>8</v>
      </c>
      <c r="G969" s="9">
        <f>8-questionnaire!G969</f>
        <v>8</v>
      </c>
      <c r="H969" s="9">
        <f>8-questionnaire!H969</f>
        <v>8</v>
      </c>
      <c r="I969" s="9">
        <f>C969*10+D969*5+E969*1.66-(questionnaire!F969*1.66+questionnaire!G969*5+questionnaire!H969*10)</f>
        <v>0</v>
      </c>
    </row>
    <row r="970">
      <c r="A970" s="8" t="str">
        <f>questionnaire!A970</f>
        <v/>
      </c>
      <c r="B970" s="9" t="str">
        <f>questionnaire!B970</f>
        <v/>
      </c>
      <c r="C970" s="9" t="str">
        <f>questionnaire!C970</f>
        <v/>
      </c>
      <c r="D970" s="9" t="str">
        <f>questionnaire!D970</f>
        <v/>
      </c>
      <c r="E970" s="9" t="str">
        <f>questionnaire!E970</f>
        <v/>
      </c>
      <c r="F970" s="9">
        <f>8-questionnaire!F970</f>
        <v>8</v>
      </c>
      <c r="G970" s="9">
        <f>8-questionnaire!G970</f>
        <v>8</v>
      </c>
      <c r="H970" s="9">
        <f>8-questionnaire!H970</f>
        <v>8</v>
      </c>
      <c r="I970" s="9">
        <f>C970*10+D970*5+E970*1.66-(questionnaire!F970*1.66+questionnaire!G970*5+questionnaire!H970*10)</f>
        <v>0</v>
      </c>
    </row>
    <row r="971">
      <c r="A971" s="8" t="str">
        <f>questionnaire!A971</f>
        <v/>
      </c>
      <c r="B971" s="9" t="str">
        <f>questionnaire!B971</f>
        <v/>
      </c>
      <c r="C971" s="9" t="str">
        <f>questionnaire!C971</f>
        <v/>
      </c>
      <c r="D971" s="9" t="str">
        <f>questionnaire!D971</f>
        <v/>
      </c>
      <c r="E971" s="9" t="str">
        <f>questionnaire!E971</f>
        <v/>
      </c>
      <c r="F971" s="9">
        <f>8-questionnaire!F971</f>
        <v>8</v>
      </c>
      <c r="G971" s="9">
        <f>8-questionnaire!G971</f>
        <v>8</v>
      </c>
      <c r="H971" s="9">
        <f>8-questionnaire!H971</f>
        <v>8</v>
      </c>
      <c r="I971" s="9">
        <f>C971*10+D971*5+E971*1.66-(questionnaire!F971*1.66+questionnaire!G971*5+questionnaire!H971*10)</f>
        <v>0</v>
      </c>
    </row>
    <row r="972">
      <c r="A972" s="8" t="str">
        <f>questionnaire!A972</f>
        <v/>
      </c>
      <c r="B972" s="9" t="str">
        <f>questionnaire!B972</f>
        <v/>
      </c>
      <c r="C972" s="9" t="str">
        <f>questionnaire!C972</f>
        <v/>
      </c>
      <c r="D972" s="9" t="str">
        <f>questionnaire!D972</f>
        <v/>
      </c>
      <c r="E972" s="9" t="str">
        <f>questionnaire!E972</f>
        <v/>
      </c>
      <c r="F972" s="9">
        <f>8-questionnaire!F972</f>
        <v>8</v>
      </c>
      <c r="G972" s="9">
        <f>8-questionnaire!G972</f>
        <v>8</v>
      </c>
      <c r="H972" s="9">
        <f>8-questionnaire!H972</f>
        <v>8</v>
      </c>
      <c r="I972" s="9">
        <f>C972*10+D972*5+E972*1.66-(questionnaire!F972*1.66+questionnaire!G972*5+questionnaire!H972*10)</f>
        <v>0</v>
      </c>
    </row>
    <row r="973">
      <c r="A973" s="8" t="str">
        <f>questionnaire!A973</f>
        <v/>
      </c>
      <c r="B973" s="9" t="str">
        <f>questionnaire!B973</f>
        <v/>
      </c>
      <c r="C973" s="9" t="str">
        <f>questionnaire!C973</f>
        <v/>
      </c>
      <c r="D973" s="9" t="str">
        <f>questionnaire!D973</f>
        <v/>
      </c>
      <c r="E973" s="9" t="str">
        <f>questionnaire!E973</f>
        <v/>
      </c>
      <c r="F973" s="9">
        <f>8-questionnaire!F973</f>
        <v>8</v>
      </c>
      <c r="G973" s="9">
        <f>8-questionnaire!G973</f>
        <v>8</v>
      </c>
      <c r="H973" s="9">
        <f>8-questionnaire!H973</f>
        <v>8</v>
      </c>
      <c r="I973" s="9">
        <f>C973*10+D973*5+E973*1.66-(questionnaire!F973*1.66+questionnaire!G973*5+questionnaire!H973*10)</f>
        <v>0</v>
      </c>
    </row>
    <row r="974">
      <c r="A974" s="8" t="str">
        <f>questionnaire!A974</f>
        <v/>
      </c>
      <c r="B974" s="9" t="str">
        <f>questionnaire!B974</f>
        <v/>
      </c>
      <c r="C974" s="9" t="str">
        <f>questionnaire!C974</f>
        <v/>
      </c>
      <c r="D974" s="9" t="str">
        <f>questionnaire!D974</f>
        <v/>
      </c>
      <c r="E974" s="9" t="str">
        <f>questionnaire!E974</f>
        <v/>
      </c>
      <c r="F974" s="9">
        <f>8-questionnaire!F974</f>
        <v>8</v>
      </c>
      <c r="G974" s="9">
        <f>8-questionnaire!G974</f>
        <v>8</v>
      </c>
      <c r="H974" s="9">
        <f>8-questionnaire!H974</f>
        <v>8</v>
      </c>
      <c r="I974" s="9">
        <f>C974*10+D974*5+E974*1.66-(questionnaire!F974*1.66+questionnaire!G974*5+questionnaire!H974*10)</f>
        <v>0</v>
      </c>
    </row>
    <row r="975">
      <c r="A975" s="8" t="str">
        <f>questionnaire!A975</f>
        <v/>
      </c>
      <c r="B975" s="9" t="str">
        <f>questionnaire!B975</f>
        <v/>
      </c>
      <c r="C975" s="9" t="str">
        <f>questionnaire!C975</f>
        <v/>
      </c>
      <c r="D975" s="9" t="str">
        <f>questionnaire!D975</f>
        <v/>
      </c>
      <c r="E975" s="9" t="str">
        <f>questionnaire!E975</f>
        <v/>
      </c>
      <c r="F975" s="9">
        <f>8-questionnaire!F975</f>
        <v>8</v>
      </c>
      <c r="G975" s="9">
        <f>8-questionnaire!G975</f>
        <v>8</v>
      </c>
      <c r="H975" s="9">
        <f>8-questionnaire!H975</f>
        <v>8</v>
      </c>
      <c r="I975" s="9">
        <f>C975*10+D975*5+E975*1.66-(questionnaire!F975*1.66+questionnaire!G975*5+questionnaire!H975*10)</f>
        <v>0</v>
      </c>
    </row>
    <row r="976">
      <c r="A976" s="8" t="str">
        <f>questionnaire!A976</f>
        <v/>
      </c>
      <c r="B976" s="9" t="str">
        <f>questionnaire!B976</f>
        <v/>
      </c>
      <c r="C976" s="9" t="str">
        <f>questionnaire!C976</f>
        <v/>
      </c>
      <c r="D976" s="9" t="str">
        <f>questionnaire!D976</f>
        <v/>
      </c>
      <c r="E976" s="9" t="str">
        <f>questionnaire!E976</f>
        <v/>
      </c>
      <c r="F976" s="9">
        <f>8-questionnaire!F976</f>
        <v>8</v>
      </c>
      <c r="G976" s="9">
        <f>8-questionnaire!G976</f>
        <v>8</v>
      </c>
      <c r="H976" s="9">
        <f>8-questionnaire!H976</f>
        <v>8</v>
      </c>
      <c r="I976" s="9">
        <f>C976*10+D976*5+E976*1.66-(questionnaire!F976*1.66+questionnaire!G976*5+questionnaire!H976*10)</f>
        <v>0</v>
      </c>
    </row>
    <row r="977">
      <c r="A977" s="8" t="str">
        <f>questionnaire!A977</f>
        <v/>
      </c>
      <c r="B977" s="9" t="str">
        <f>questionnaire!B977</f>
        <v/>
      </c>
      <c r="C977" s="9" t="str">
        <f>questionnaire!C977</f>
        <v/>
      </c>
      <c r="D977" s="9" t="str">
        <f>questionnaire!D977</f>
        <v/>
      </c>
      <c r="E977" s="9" t="str">
        <f>questionnaire!E977</f>
        <v/>
      </c>
      <c r="F977" s="9">
        <f>8-questionnaire!F977</f>
        <v>8</v>
      </c>
      <c r="G977" s="9">
        <f>8-questionnaire!G977</f>
        <v>8</v>
      </c>
      <c r="H977" s="9">
        <f>8-questionnaire!H977</f>
        <v>8</v>
      </c>
      <c r="I977" s="9">
        <f>C977*10+D977*5+E977*1.66-(questionnaire!F977*1.66+questionnaire!G977*5+questionnaire!H977*10)</f>
        <v>0</v>
      </c>
    </row>
    <row r="978">
      <c r="A978" s="8" t="str">
        <f>questionnaire!A978</f>
        <v/>
      </c>
      <c r="B978" s="9" t="str">
        <f>questionnaire!B978</f>
        <v/>
      </c>
      <c r="C978" s="9" t="str">
        <f>questionnaire!C978</f>
        <v/>
      </c>
      <c r="D978" s="9" t="str">
        <f>questionnaire!D978</f>
        <v/>
      </c>
      <c r="E978" s="9" t="str">
        <f>questionnaire!E978</f>
        <v/>
      </c>
      <c r="F978" s="9">
        <f>8-questionnaire!F978</f>
        <v>8</v>
      </c>
      <c r="G978" s="9">
        <f>8-questionnaire!G978</f>
        <v>8</v>
      </c>
      <c r="H978" s="9">
        <f>8-questionnaire!H978</f>
        <v>8</v>
      </c>
      <c r="I978" s="9">
        <f>C978*10+D978*5+E978*1.66-(questionnaire!F978*1.66+questionnaire!G978*5+questionnaire!H978*10)</f>
        <v>0</v>
      </c>
    </row>
    <row r="979">
      <c r="A979" s="8" t="str">
        <f>questionnaire!A979</f>
        <v/>
      </c>
      <c r="B979" s="9" t="str">
        <f>questionnaire!B979</f>
        <v/>
      </c>
      <c r="C979" s="9" t="str">
        <f>questionnaire!C979</f>
        <v/>
      </c>
      <c r="D979" s="9" t="str">
        <f>questionnaire!D979</f>
        <v/>
      </c>
      <c r="E979" s="9" t="str">
        <f>questionnaire!E979</f>
        <v/>
      </c>
      <c r="F979" s="9">
        <f>8-questionnaire!F979</f>
        <v>8</v>
      </c>
      <c r="G979" s="9">
        <f>8-questionnaire!G979</f>
        <v>8</v>
      </c>
      <c r="H979" s="9">
        <f>8-questionnaire!H979</f>
        <v>8</v>
      </c>
      <c r="I979" s="9">
        <f>C979*10+D979*5+E979*1.66-(questionnaire!F979*1.66+questionnaire!G979*5+questionnaire!H979*10)</f>
        <v>0</v>
      </c>
    </row>
    <row r="980">
      <c r="A980" s="8" t="str">
        <f>questionnaire!A980</f>
        <v/>
      </c>
      <c r="B980" s="9" t="str">
        <f>questionnaire!B980</f>
        <v/>
      </c>
      <c r="C980" s="9" t="str">
        <f>questionnaire!C980</f>
        <v/>
      </c>
      <c r="D980" s="9" t="str">
        <f>questionnaire!D980</f>
        <v/>
      </c>
      <c r="E980" s="9" t="str">
        <f>questionnaire!E980</f>
        <v/>
      </c>
      <c r="F980" s="9">
        <f>8-questionnaire!F980</f>
        <v>8</v>
      </c>
      <c r="G980" s="9">
        <f>8-questionnaire!G980</f>
        <v>8</v>
      </c>
      <c r="H980" s="9">
        <f>8-questionnaire!H980</f>
        <v>8</v>
      </c>
      <c r="I980" s="9">
        <f>C980*10+D980*5+E980*1.66-(questionnaire!F980*1.66+questionnaire!G980*5+questionnaire!H980*10)</f>
        <v>0</v>
      </c>
    </row>
    <row r="981">
      <c r="A981" s="8" t="str">
        <f>questionnaire!A981</f>
        <v/>
      </c>
      <c r="B981" s="9" t="str">
        <f>questionnaire!B981</f>
        <v/>
      </c>
      <c r="C981" s="9" t="str">
        <f>questionnaire!C981</f>
        <v/>
      </c>
      <c r="D981" s="9" t="str">
        <f>questionnaire!D981</f>
        <v/>
      </c>
      <c r="E981" s="9" t="str">
        <f>questionnaire!E981</f>
        <v/>
      </c>
      <c r="F981" s="9">
        <f>8-questionnaire!F981</f>
        <v>8</v>
      </c>
      <c r="G981" s="9">
        <f>8-questionnaire!G981</f>
        <v>8</v>
      </c>
      <c r="H981" s="9">
        <f>8-questionnaire!H981</f>
        <v>8</v>
      </c>
      <c r="I981" s="9">
        <f>C981*10+D981*5+E981*1.66-(questionnaire!F981*1.66+questionnaire!G981*5+questionnaire!H981*10)</f>
        <v>0</v>
      </c>
    </row>
    <row r="982">
      <c r="A982" s="8" t="str">
        <f>questionnaire!A982</f>
        <v/>
      </c>
      <c r="B982" s="9" t="str">
        <f>questionnaire!B982</f>
        <v/>
      </c>
      <c r="C982" s="9" t="str">
        <f>questionnaire!C982</f>
        <v/>
      </c>
      <c r="D982" s="9" t="str">
        <f>questionnaire!D982</f>
        <v/>
      </c>
      <c r="E982" s="9" t="str">
        <f>questionnaire!E982</f>
        <v/>
      </c>
      <c r="F982" s="9">
        <f>8-questionnaire!F982</f>
        <v>8</v>
      </c>
      <c r="G982" s="9">
        <f>8-questionnaire!G982</f>
        <v>8</v>
      </c>
      <c r="H982" s="9">
        <f>8-questionnaire!H982</f>
        <v>8</v>
      </c>
      <c r="I982" s="9">
        <f>C982*10+D982*5+E982*1.66-(questionnaire!F982*1.66+questionnaire!G982*5+questionnaire!H982*10)</f>
        <v>0</v>
      </c>
    </row>
    <row r="983">
      <c r="A983" s="8" t="str">
        <f>questionnaire!A983</f>
        <v/>
      </c>
      <c r="B983" s="9" t="str">
        <f>questionnaire!B983</f>
        <v/>
      </c>
      <c r="C983" s="9" t="str">
        <f>questionnaire!C983</f>
        <v/>
      </c>
      <c r="D983" s="9" t="str">
        <f>questionnaire!D983</f>
        <v/>
      </c>
      <c r="E983" s="9" t="str">
        <f>questionnaire!E983</f>
        <v/>
      </c>
      <c r="F983" s="9">
        <f>8-questionnaire!F983</f>
        <v>8</v>
      </c>
      <c r="G983" s="9">
        <f>8-questionnaire!G983</f>
        <v>8</v>
      </c>
      <c r="H983" s="9">
        <f>8-questionnaire!H983</f>
        <v>8</v>
      </c>
      <c r="I983" s="9">
        <f>C983*10+D983*5+E983*1.66-(questionnaire!F983*1.66+questionnaire!G983*5+questionnaire!H983*10)</f>
        <v>0</v>
      </c>
    </row>
    <row r="984">
      <c r="A984" s="8" t="str">
        <f>questionnaire!A984</f>
        <v/>
      </c>
      <c r="B984" s="9" t="str">
        <f>questionnaire!B984</f>
        <v/>
      </c>
      <c r="C984" s="9" t="str">
        <f>questionnaire!C984</f>
        <v/>
      </c>
      <c r="D984" s="9" t="str">
        <f>questionnaire!D984</f>
        <v/>
      </c>
      <c r="E984" s="9" t="str">
        <f>questionnaire!E984</f>
        <v/>
      </c>
      <c r="F984" s="9">
        <f>8-questionnaire!F984</f>
        <v>8</v>
      </c>
      <c r="G984" s="9">
        <f>8-questionnaire!G984</f>
        <v>8</v>
      </c>
      <c r="H984" s="9">
        <f>8-questionnaire!H984</f>
        <v>8</v>
      </c>
      <c r="I984" s="9">
        <f>C984*10+D984*5+E984*1.66-(questionnaire!F984*1.66+questionnaire!G984*5+questionnaire!H984*10)</f>
        <v>0</v>
      </c>
    </row>
    <row r="985">
      <c r="A985" s="8" t="str">
        <f>questionnaire!A985</f>
        <v/>
      </c>
      <c r="B985" s="9" t="str">
        <f>questionnaire!B985</f>
        <v/>
      </c>
      <c r="C985" s="9" t="str">
        <f>questionnaire!C985</f>
        <v/>
      </c>
      <c r="D985" s="9" t="str">
        <f>questionnaire!D985</f>
        <v/>
      </c>
      <c r="E985" s="9" t="str">
        <f>questionnaire!E985</f>
        <v/>
      </c>
      <c r="F985" s="9">
        <f>8-questionnaire!F985</f>
        <v>8</v>
      </c>
      <c r="G985" s="9">
        <f>8-questionnaire!G985</f>
        <v>8</v>
      </c>
      <c r="H985" s="9">
        <f>8-questionnaire!H985</f>
        <v>8</v>
      </c>
      <c r="I985" s="9">
        <f>C985*10+D985*5+E985*1.66-(questionnaire!F985*1.66+questionnaire!G985*5+questionnaire!H985*10)</f>
        <v>0</v>
      </c>
    </row>
    <row r="986">
      <c r="A986" s="8" t="str">
        <f>questionnaire!A986</f>
        <v/>
      </c>
      <c r="B986" s="9" t="str">
        <f>questionnaire!B986</f>
        <v/>
      </c>
      <c r="C986" s="9" t="str">
        <f>questionnaire!C986</f>
        <v/>
      </c>
      <c r="D986" s="9" t="str">
        <f>questionnaire!D986</f>
        <v/>
      </c>
      <c r="E986" s="9" t="str">
        <f>questionnaire!E986</f>
        <v/>
      </c>
      <c r="F986" s="9">
        <f>8-questionnaire!F986</f>
        <v>8</v>
      </c>
      <c r="G986" s="9">
        <f>8-questionnaire!G986</f>
        <v>8</v>
      </c>
      <c r="H986" s="9">
        <f>8-questionnaire!H986</f>
        <v>8</v>
      </c>
      <c r="I986" s="9">
        <f>C986*10+D986*5+E986*1.66-(questionnaire!F986*1.66+questionnaire!G986*5+questionnaire!H986*10)</f>
        <v>0</v>
      </c>
    </row>
    <row r="987">
      <c r="A987" s="8" t="str">
        <f>questionnaire!A987</f>
        <v/>
      </c>
      <c r="B987" s="9" t="str">
        <f>questionnaire!B987</f>
        <v/>
      </c>
      <c r="C987" s="9" t="str">
        <f>questionnaire!C987</f>
        <v/>
      </c>
      <c r="D987" s="9" t="str">
        <f>questionnaire!D987</f>
        <v/>
      </c>
      <c r="E987" s="9" t="str">
        <f>questionnaire!E987</f>
        <v/>
      </c>
      <c r="F987" s="9">
        <f>8-questionnaire!F987</f>
        <v>8</v>
      </c>
      <c r="G987" s="9">
        <f>8-questionnaire!G987</f>
        <v>8</v>
      </c>
      <c r="H987" s="9">
        <f>8-questionnaire!H987</f>
        <v>8</v>
      </c>
      <c r="I987" s="9">
        <f>C987*10+D987*5+E987*1.66-(questionnaire!F987*1.66+questionnaire!G987*5+questionnaire!H987*10)</f>
        <v>0</v>
      </c>
    </row>
    <row r="988">
      <c r="A988" s="8" t="str">
        <f>questionnaire!A988</f>
        <v/>
      </c>
      <c r="B988" s="9" t="str">
        <f>questionnaire!B988</f>
        <v/>
      </c>
      <c r="C988" s="9" t="str">
        <f>questionnaire!C988</f>
        <v/>
      </c>
      <c r="D988" s="9" t="str">
        <f>questionnaire!D988</f>
        <v/>
      </c>
      <c r="E988" s="9" t="str">
        <f>questionnaire!E988</f>
        <v/>
      </c>
      <c r="F988" s="9">
        <f>8-questionnaire!F988</f>
        <v>8</v>
      </c>
      <c r="G988" s="9">
        <f>8-questionnaire!G988</f>
        <v>8</v>
      </c>
      <c r="H988" s="9">
        <f>8-questionnaire!H988</f>
        <v>8</v>
      </c>
      <c r="I988" s="9">
        <f>C988*10+D988*5+E988*1.66-(questionnaire!F988*1.66+questionnaire!G988*5+questionnaire!H988*10)</f>
        <v>0</v>
      </c>
    </row>
    <row r="989">
      <c r="A989" s="8" t="str">
        <f>questionnaire!A989</f>
        <v/>
      </c>
      <c r="B989" s="9" t="str">
        <f>questionnaire!B989</f>
        <v/>
      </c>
      <c r="C989" s="9" t="str">
        <f>questionnaire!C989</f>
        <v/>
      </c>
      <c r="D989" s="9" t="str">
        <f>questionnaire!D989</f>
        <v/>
      </c>
      <c r="E989" s="9" t="str">
        <f>questionnaire!E989</f>
        <v/>
      </c>
      <c r="F989" s="9">
        <f>8-questionnaire!F989</f>
        <v>8</v>
      </c>
      <c r="G989" s="9">
        <f>8-questionnaire!G989</f>
        <v>8</v>
      </c>
      <c r="H989" s="9">
        <f>8-questionnaire!H989</f>
        <v>8</v>
      </c>
      <c r="I989" s="9">
        <f>C989*10+D989*5+E989*1.66-(questionnaire!F989*1.66+questionnaire!G989*5+questionnaire!H989*10)</f>
        <v>0</v>
      </c>
    </row>
    <row r="990">
      <c r="A990" s="8" t="str">
        <f>questionnaire!A990</f>
        <v/>
      </c>
      <c r="B990" s="9" t="str">
        <f>questionnaire!B990</f>
        <v/>
      </c>
      <c r="C990" s="9" t="str">
        <f>questionnaire!C990</f>
        <v/>
      </c>
      <c r="D990" s="9" t="str">
        <f>questionnaire!D990</f>
        <v/>
      </c>
      <c r="E990" s="9" t="str">
        <f>questionnaire!E990</f>
        <v/>
      </c>
      <c r="F990" s="9">
        <f>8-questionnaire!F990</f>
        <v>8</v>
      </c>
      <c r="G990" s="9">
        <f>8-questionnaire!G990</f>
        <v>8</v>
      </c>
      <c r="H990" s="9">
        <f>8-questionnaire!H990</f>
        <v>8</v>
      </c>
      <c r="I990" s="9">
        <f>C990*10+D990*5+E990*1.66-(questionnaire!F990*1.66+questionnaire!G990*5+questionnaire!H990*10)</f>
        <v>0</v>
      </c>
    </row>
    <row r="991">
      <c r="A991" s="8" t="str">
        <f>questionnaire!A991</f>
        <v/>
      </c>
      <c r="B991" s="9" t="str">
        <f>questionnaire!B991</f>
        <v/>
      </c>
      <c r="C991" s="9" t="str">
        <f>questionnaire!C991</f>
        <v/>
      </c>
      <c r="D991" s="9" t="str">
        <f>questionnaire!D991</f>
        <v/>
      </c>
      <c r="E991" s="9" t="str">
        <f>questionnaire!E991</f>
        <v/>
      </c>
      <c r="F991" s="9">
        <f>8-questionnaire!F991</f>
        <v>8</v>
      </c>
      <c r="G991" s="9">
        <f>8-questionnaire!G991</f>
        <v>8</v>
      </c>
      <c r="H991" s="9">
        <f>8-questionnaire!H991</f>
        <v>8</v>
      </c>
      <c r="I991" s="9">
        <f>C991*10+D991*5+E991*1.66-(questionnaire!F991*1.66+questionnaire!G991*5+questionnaire!H991*10)</f>
        <v>0</v>
      </c>
    </row>
    <row r="992">
      <c r="A992" s="8" t="str">
        <f>questionnaire!A992</f>
        <v/>
      </c>
      <c r="B992" s="9" t="str">
        <f>questionnaire!B992</f>
        <v/>
      </c>
      <c r="C992" s="9" t="str">
        <f>questionnaire!C992</f>
        <v/>
      </c>
      <c r="D992" s="9" t="str">
        <f>questionnaire!D992</f>
        <v/>
      </c>
      <c r="E992" s="9" t="str">
        <f>questionnaire!E992</f>
        <v/>
      </c>
      <c r="F992" s="9">
        <f>8-questionnaire!F992</f>
        <v>8</v>
      </c>
      <c r="G992" s="9">
        <f>8-questionnaire!G992</f>
        <v>8</v>
      </c>
      <c r="H992" s="9">
        <f>8-questionnaire!H992</f>
        <v>8</v>
      </c>
      <c r="I992" s="9">
        <f>C992*10+D992*5+E992*1.66-(questionnaire!F992*1.66+questionnaire!G992*5+questionnaire!H992*10)</f>
        <v>0</v>
      </c>
    </row>
    <row r="993">
      <c r="A993" s="8" t="str">
        <f>questionnaire!A993</f>
        <v/>
      </c>
      <c r="B993" s="9" t="str">
        <f>questionnaire!B993</f>
        <v/>
      </c>
      <c r="C993" s="9" t="str">
        <f>questionnaire!C993</f>
        <v/>
      </c>
      <c r="D993" s="9" t="str">
        <f>questionnaire!D993</f>
        <v/>
      </c>
      <c r="E993" s="9" t="str">
        <f>questionnaire!E993</f>
        <v/>
      </c>
      <c r="F993" s="9">
        <f>8-questionnaire!F993</f>
        <v>8</v>
      </c>
      <c r="G993" s="9">
        <f>8-questionnaire!G993</f>
        <v>8</v>
      </c>
      <c r="H993" s="9">
        <f>8-questionnaire!H993</f>
        <v>8</v>
      </c>
      <c r="I993" s="9">
        <f>C993*10+D993*5+E993*1.66-(questionnaire!F993*1.66+questionnaire!G993*5+questionnaire!H993*10)</f>
        <v>0</v>
      </c>
    </row>
    <row r="994">
      <c r="A994" s="8" t="str">
        <f>questionnaire!A994</f>
        <v/>
      </c>
      <c r="B994" s="9" t="str">
        <f>questionnaire!B994</f>
        <v/>
      </c>
      <c r="C994" s="9" t="str">
        <f>questionnaire!C994</f>
        <v/>
      </c>
      <c r="D994" s="9" t="str">
        <f>questionnaire!D994</f>
        <v/>
      </c>
      <c r="E994" s="9" t="str">
        <f>questionnaire!E994</f>
        <v/>
      </c>
      <c r="F994" s="9">
        <f>8-questionnaire!F994</f>
        <v>8</v>
      </c>
      <c r="G994" s="9">
        <f>8-questionnaire!G994</f>
        <v>8</v>
      </c>
      <c r="H994" s="9">
        <f>8-questionnaire!H994</f>
        <v>8</v>
      </c>
      <c r="I994" s="9">
        <f>C994*10+D994*5+E994*1.66-(questionnaire!F994*1.66+questionnaire!G994*5+questionnaire!H994*10)</f>
        <v>0</v>
      </c>
    </row>
    <row r="995">
      <c r="A995" s="8" t="str">
        <f>questionnaire!A995</f>
        <v/>
      </c>
      <c r="B995" s="9" t="str">
        <f>questionnaire!B995</f>
        <v/>
      </c>
      <c r="C995" s="9" t="str">
        <f>questionnaire!C995</f>
        <v/>
      </c>
      <c r="D995" s="9" t="str">
        <f>questionnaire!D995</f>
        <v/>
      </c>
      <c r="E995" s="9" t="str">
        <f>questionnaire!E995</f>
        <v/>
      </c>
      <c r="F995" s="9">
        <f>8-questionnaire!F995</f>
        <v>8</v>
      </c>
      <c r="G995" s="9">
        <f>8-questionnaire!G995</f>
        <v>8</v>
      </c>
      <c r="H995" s="9">
        <f>8-questionnaire!H995</f>
        <v>8</v>
      </c>
      <c r="I995" s="9">
        <f>C995*10+D995*5+E995*1.66-(questionnaire!F995*1.66+questionnaire!G995*5+questionnaire!H995*10)</f>
        <v>0</v>
      </c>
    </row>
    <row r="996">
      <c r="A996" s="8" t="str">
        <f>questionnaire!A996</f>
        <v/>
      </c>
      <c r="B996" s="9" t="str">
        <f>questionnaire!B996</f>
        <v/>
      </c>
      <c r="C996" s="9" t="str">
        <f>questionnaire!C996</f>
        <v/>
      </c>
      <c r="D996" s="9" t="str">
        <f>questionnaire!D996</f>
        <v/>
      </c>
      <c r="E996" s="9" t="str">
        <f>questionnaire!E996</f>
        <v/>
      </c>
      <c r="F996" s="9">
        <f>8-questionnaire!F996</f>
        <v>8</v>
      </c>
      <c r="G996" s="9">
        <f>8-questionnaire!G996</f>
        <v>8</v>
      </c>
      <c r="H996" s="9">
        <f>8-questionnaire!H996</f>
        <v>8</v>
      </c>
      <c r="I996" s="9">
        <f>C996*10+D996*5+E996*1.66-(questionnaire!F996*1.66+questionnaire!G996*5+questionnaire!H996*10)</f>
        <v>0</v>
      </c>
    </row>
    <row r="997">
      <c r="A997" s="8" t="str">
        <f>questionnaire!A997</f>
        <v/>
      </c>
      <c r="B997" s="9" t="str">
        <f>questionnaire!B997</f>
        <v/>
      </c>
      <c r="C997" s="9" t="str">
        <f>questionnaire!C997</f>
        <v/>
      </c>
      <c r="D997" s="9" t="str">
        <f>questionnaire!D997</f>
        <v/>
      </c>
      <c r="E997" s="9" t="str">
        <f>questionnaire!E997</f>
        <v/>
      </c>
      <c r="F997" s="9">
        <f>8-questionnaire!F997</f>
        <v>8</v>
      </c>
      <c r="G997" s="9">
        <f>8-questionnaire!G997</f>
        <v>8</v>
      </c>
      <c r="H997" s="9">
        <f>8-questionnaire!H997</f>
        <v>8</v>
      </c>
      <c r="I997" s="9">
        <f>C997*10+D997*5+E997*1.66-(questionnaire!F997*1.66+questionnaire!G997*5+questionnaire!H997*10)</f>
        <v>0</v>
      </c>
    </row>
    <row r="998">
      <c r="A998" s="8" t="str">
        <f>questionnaire!A998</f>
        <v/>
      </c>
      <c r="B998" s="9" t="str">
        <f>questionnaire!B998</f>
        <v/>
      </c>
      <c r="C998" s="9" t="str">
        <f>questionnaire!C998</f>
        <v/>
      </c>
      <c r="D998" s="9" t="str">
        <f>questionnaire!D998</f>
        <v/>
      </c>
      <c r="E998" s="9" t="str">
        <f>questionnaire!E998</f>
        <v/>
      </c>
      <c r="F998" s="9">
        <f>8-questionnaire!F998</f>
        <v>8</v>
      </c>
      <c r="G998" s="9">
        <f>8-questionnaire!G998</f>
        <v>8</v>
      </c>
      <c r="H998" s="9">
        <f>8-questionnaire!H998</f>
        <v>8</v>
      </c>
      <c r="I998" s="9">
        <f>C998*10+D998*5+E998*1.66-(questionnaire!F998*1.66+questionnaire!G998*5+questionnaire!H998*10)</f>
        <v>0</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sheetData>
    <row r="1">
      <c r="A1" s="1" t="s">
        <v>0</v>
      </c>
      <c r="B1" s="2" t="s">
        <v>62</v>
      </c>
      <c r="C1" s="2" t="s">
        <v>63</v>
      </c>
      <c r="D1" s="2" t="s">
        <v>64</v>
      </c>
      <c r="E1" s="2" t="s">
        <v>65</v>
      </c>
      <c r="F1" s="2" t="s">
        <v>66</v>
      </c>
      <c r="G1" s="2" t="s">
        <v>67</v>
      </c>
      <c r="H1" s="2" t="s">
        <v>68</v>
      </c>
      <c r="I1" s="2" t="s">
        <v>69</v>
      </c>
      <c r="J1" s="2" t="s">
        <v>70</v>
      </c>
      <c r="K1" s="2" t="s">
        <v>71</v>
      </c>
      <c r="L1" s="2" t="s">
        <v>72</v>
      </c>
      <c r="M1" s="2" t="s">
        <v>73</v>
      </c>
      <c r="N1" s="2" t="s">
        <v>74</v>
      </c>
      <c r="O1" s="2" t="s">
        <v>75</v>
      </c>
      <c r="P1" s="2" t="s">
        <v>76</v>
      </c>
      <c r="Q1" s="2" t="s">
        <v>77</v>
      </c>
      <c r="R1" s="2" t="s">
        <v>78</v>
      </c>
      <c r="S1" s="3"/>
      <c r="T1" s="3"/>
      <c r="U1" s="3"/>
      <c r="V1" s="3"/>
      <c r="W1" s="3"/>
      <c r="X1" s="3"/>
      <c r="Y1" s="3"/>
      <c r="Z1" s="3"/>
      <c r="AA1" s="3"/>
      <c r="AB1" s="3"/>
      <c r="AC1" s="3"/>
      <c r="AD1" s="3"/>
    </row>
    <row r="2">
      <c r="A2" s="4" t="s">
        <v>14</v>
      </c>
      <c r="B2" s="9">
        <f>ROUND(AVERAGEIF(processed_data!$A:$A,$A2,processed_data!C:C),2)</f>
        <v>4.88</v>
      </c>
      <c r="C2" s="9">
        <f>ROUND(AVERAGEIF(processed_data!$A:$A,$A2,processed_data!D:D),2)</f>
        <v>5.25</v>
      </c>
      <c r="D2" s="9">
        <f>ROUND(AVERAGEIF(processed_data!$A:$A,$A2,processed_data!E:E),2)</f>
        <v>5.63</v>
      </c>
      <c r="E2" s="9">
        <f>ROUND(AVERAGEIF(processed_data!$A:$A,$A2,processed_data!F:F),2)</f>
        <v>3.75</v>
      </c>
      <c r="F2" s="9">
        <f>ROUND(AVERAGEIF(processed_data!$A:$A,$A2,processed_data!G:G),2)</f>
        <v>6.38</v>
      </c>
      <c r="G2" s="9">
        <f>ROUND(AVERAGEIF(processed_data!$A:$A,$A2,processed_data!H:H),2)</f>
        <v>6.63</v>
      </c>
      <c r="H2" s="9">
        <f>IFERROR(__xludf.DUMMYFUNCTION("median(filter(processed_data!C:C,isnumber(processed_data!C:C),processed_data!$A:$A=$A2))"),5.0)</f>
        <v>5</v>
      </c>
      <c r="I2" s="9">
        <f>IFERROR(__xludf.DUMMYFUNCTION("median(filter(processed_data!D:D,isnumber(processed_data!D:D),processed_data!$A:$A=$A2))"),5.5)</f>
        <v>5.5</v>
      </c>
      <c r="J2" s="9">
        <f>IFERROR(__xludf.DUMMYFUNCTION("median(filter(processed_data!E:E,isnumber(processed_data!E:E),processed_data!$A:$A=$A2))"),6.0)</f>
        <v>6</v>
      </c>
      <c r="K2" s="9">
        <f>IFERROR(__xludf.DUMMYFUNCTION("median(filter(processed_data!F:F,isnumber(processed_data!F:F),processed_data!$A:$A=$A2))"),3.0)</f>
        <v>3</v>
      </c>
      <c r="L2" s="9">
        <f>IFERROR(__xludf.DUMMYFUNCTION("median(filter(processed_data!G:G,isnumber(processed_data!G:G),processed_data!$A:$A=$A2))"),7.0)</f>
        <v>7</v>
      </c>
      <c r="M2" s="9">
        <f>IFERROR(__xludf.DUMMYFUNCTION("median(filter(processed_data!H:H,isnumber(processed_data!H:H),processed_data!$A:$A=$A2))"),7.0)</f>
        <v>7</v>
      </c>
      <c r="N2" s="9">
        <f t="shared" ref="N2:N13" si="1">SUM(B2:G2)</f>
        <v>32.52</v>
      </c>
      <c r="O2" s="9">
        <f t="shared" ref="O2:O13" si="2">ROUND(AVERAGE(B2:G2),1)</f>
        <v>5.4</v>
      </c>
      <c r="P2" s="9">
        <f>COUNTIF(processed_data!$A:$A,"2021-07")</f>
        <v>8</v>
      </c>
      <c r="Q2" s="9">
        <f>ROUND(AVERAGEIF(processed_data!$A:$A,$A2,processed_data!I:I),2)</f>
        <v>55.41</v>
      </c>
      <c r="R2" s="9">
        <f>IFERROR(__xludf.DUMMYFUNCTION("median(filter(processed_data!I:I,isnumber(processed_data!I:I),processed_data!$A:$A=$A2))"),60.84)</f>
        <v>60.84</v>
      </c>
    </row>
    <row r="3">
      <c r="A3" s="4" t="s">
        <v>41</v>
      </c>
      <c r="B3" s="9">
        <f>ROUND(AVERAGEIF(processed_data!$A:$A,$A3,processed_data!C:C),2)</f>
        <v>4.8</v>
      </c>
      <c r="C3" s="9">
        <f>ROUND(AVERAGEIF(processed_data!$A:$A,$A3,processed_data!D:D),2)</f>
        <v>5</v>
      </c>
      <c r="D3" s="9">
        <f>ROUND(AVERAGEIF(processed_data!$A:$A,$A3,processed_data!E:E),2)</f>
        <v>5.4</v>
      </c>
      <c r="E3" s="9">
        <f>ROUND(AVERAGEIF(processed_data!$A:$A,$A3,processed_data!F:F),2)</f>
        <v>4.2</v>
      </c>
      <c r="F3" s="9">
        <f>ROUND(AVERAGEIF(processed_data!$A:$A,$A3,processed_data!G:G),2)</f>
        <v>5.2</v>
      </c>
      <c r="G3" s="9">
        <f>ROUND(AVERAGEIF(processed_data!$A:$A,$A3,processed_data!H:H),2)</f>
        <v>6</v>
      </c>
      <c r="H3" s="9">
        <f>IFERROR(__xludf.DUMMYFUNCTION("median(filter(processed_data!C:C,isnumber(processed_data!C:C),processed_data!$A:$A=$A3))"),5.0)</f>
        <v>5</v>
      </c>
      <c r="I3" s="9">
        <f>IFERROR(__xludf.DUMMYFUNCTION("median(filter(processed_data!D:D,isnumber(processed_data!D:D),processed_data!$A:$A=$A3))"),5.0)</f>
        <v>5</v>
      </c>
      <c r="J3" s="9">
        <f>IFERROR(__xludf.DUMMYFUNCTION("median(filter(processed_data!E:E,isnumber(processed_data!E:E),processed_data!$A:$A=$A3))"),5.0)</f>
        <v>5</v>
      </c>
      <c r="K3" s="9">
        <f>IFERROR(__xludf.DUMMYFUNCTION("median(filter(processed_data!F:F,isnumber(processed_data!F:F),processed_data!$A:$A=$A3))"),4.0)</f>
        <v>4</v>
      </c>
      <c r="L3" s="9">
        <f>IFERROR(__xludf.DUMMYFUNCTION("median(filter(processed_data!G:G,isnumber(processed_data!G:G),processed_data!$A:$A=$A3))"),6.0)</f>
        <v>6</v>
      </c>
      <c r="M3" s="9">
        <f>IFERROR(__xludf.DUMMYFUNCTION("median(filter(processed_data!H:H,isnumber(processed_data!H:H),processed_data!$A:$A=$A3))"),7.0)</f>
        <v>7</v>
      </c>
      <c r="N3" s="9">
        <f t="shared" si="1"/>
        <v>30.6</v>
      </c>
      <c r="O3" s="9">
        <f t="shared" si="2"/>
        <v>5.1</v>
      </c>
      <c r="P3" s="9">
        <f>COUNTIF(processed_data!$A:$A,A3)</f>
        <v>5</v>
      </c>
      <c r="Q3" s="9">
        <f>ROUND(AVERAGEIF(processed_data!$A:$A,$A3,processed_data!I:I),2)</f>
        <v>41.66</v>
      </c>
      <c r="R3" s="9">
        <f>IFERROR(__xludf.DUMMYFUNCTION("median(filter(processed_data!I:I,isnumber(processed_data!I:I),processed_data!$A:$A=$A3))"),49.980000000000004)</f>
        <v>49.98</v>
      </c>
    </row>
    <row r="4">
      <c r="A4" s="4" t="s">
        <v>55</v>
      </c>
      <c r="B4" s="9">
        <f>ROUND(AVERAGEIF(processed_data!$A:$A,$A4,processed_data!C:C),2)</f>
        <v>5.33</v>
      </c>
      <c r="C4" s="9">
        <f>ROUND(AVERAGEIF(processed_data!$A:$A,$A4,processed_data!D:D),2)</f>
        <v>5</v>
      </c>
      <c r="D4" s="9">
        <f>ROUND(AVERAGEIF(processed_data!$A:$A,$A4,processed_data!E:E),2)</f>
        <v>4.33</v>
      </c>
      <c r="E4" s="9">
        <f>ROUND(AVERAGEIF(processed_data!$A:$A,$A4,processed_data!F:F),2)</f>
        <v>5.67</v>
      </c>
      <c r="F4" s="9">
        <f>ROUND(AVERAGEIF(processed_data!$A:$A,$A4,processed_data!G:G),2)</f>
        <v>6.33</v>
      </c>
      <c r="G4" s="9">
        <f>ROUND(AVERAGEIF(processed_data!$A:$A,$A4,processed_data!H:H),2)</f>
        <v>5.33</v>
      </c>
      <c r="H4" s="9">
        <f>IFERROR(__xludf.DUMMYFUNCTION("median(filter(processed_data!C:C,isnumber(processed_data!C:C),processed_data!$A:$A=$A4))"),5.0)</f>
        <v>5</v>
      </c>
      <c r="I4" s="9">
        <f>IFERROR(__xludf.DUMMYFUNCTION("median(filter(processed_data!D:D,isnumber(processed_data!D:D),processed_data!$A:$A=$A4))"),5.0)</f>
        <v>5</v>
      </c>
      <c r="J4" s="9">
        <f>IFERROR(__xludf.DUMMYFUNCTION("median(filter(processed_data!E:E,isnumber(processed_data!E:E),processed_data!$A:$A=$A4))"),4.0)</f>
        <v>4</v>
      </c>
      <c r="K4" s="9">
        <f>IFERROR(__xludf.DUMMYFUNCTION("median(filter(processed_data!F:F,isnumber(processed_data!F:F),processed_data!$A:$A=$A4))"),5.0)</f>
        <v>5</v>
      </c>
      <c r="L4" s="9">
        <f>IFERROR(__xludf.DUMMYFUNCTION("median(filter(processed_data!G:G,isnumber(processed_data!G:G),processed_data!$A:$A=$A4))"),6.0)</f>
        <v>6</v>
      </c>
      <c r="M4" s="9">
        <f>IFERROR(__xludf.DUMMYFUNCTION("median(filter(processed_data!H:H,isnumber(processed_data!H:H),processed_data!$A:$A=$A4))"),6.0)</f>
        <v>6</v>
      </c>
      <c r="N4" s="9">
        <f t="shared" si="1"/>
        <v>31.99</v>
      </c>
      <c r="O4" s="9">
        <f t="shared" si="2"/>
        <v>5.3</v>
      </c>
      <c r="P4" s="9">
        <f>COUNTIF(processed_data!$A:$A,A4)</f>
        <v>3</v>
      </c>
      <c r="Q4" s="9">
        <f>ROUND(AVERAGEIF(processed_data!$A:$A,$A4,processed_data!I:I),2)</f>
        <v>46.65</v>
      </c>
      <c r="R4" s="9">
        <f>IFERROR(__xludf.DUMMYFUNCTION("median(filter(processed_data!I:I,isnumber(processed_data!I:I),processed_data!$A:$A=$A4))"),36.66)</f>
        <v>36.66</v>
      </c>
    </row>
    <row r="5">
      <c r="A5" s="4" t="s">
        <v>79</v>
      </c>
      <c r="B5" s="9" t="str">
        <f>ROUND(AVERAGEIF(processed_data!$A:$A,$A5,processed_data!C:C),2)</f>
        <v>#DIV/0!</v>
      </c>
      <c r="C5" s="9" t="str">
        <f>ROUND(AVERAGEIF(processed_data!$A:$A,$A5,processed_data!D:D),2)</f>
        <v>#DIV/0!</v>
      </c>
      <c r="D5" s="9" t="str">
        <f>ROUND(AVERAGEIF(processed_data!$A:$A,$A5,processed_data!E:E),2)</f>
        <v>#DIV/0!</v>
      </c>
      <c r="E5" s="9" t="str">
        <f>ROUND(AVERAGEIF(processed_data!$A:$A,$A5,processed_data!F:F),2)</f>
        <v>#DIV/0!</v>
      </c>
      <c r="F5" s="9" t="str">
        <f>ROUND(AVERAGEIF(processed_data!$A:$A,$A5,processed_data!G:G),2)</f>
        <v>#DIV/0!</v>
      </c>
      <c r="G5" s="9" t="str">
        <f>ROUND(AVERAGEIF(processed_data!$A:$A,$A5,processed_data!H:H),2)</f>
        <v>#DIV/0!</v>
      </c>
      <c r="H5" s="9" t="str">
        <f>IFERROR(__xludf.DUMMYFUNCTION("median(filter(processed_data!C:C,isnumber(processed_data!C:C),processed_data!$A:$A=$A5))"),"#N/A")</f>
        <v>#N/A</v>
      </c>
      <c r="I5" s="9" t="str">
        <f>IFERROR(__xludf.DUMMYFUNCTION("median(filter(processed_data!D:D,isnumber(processed_data!D:D),processed_data!$A:$A=$A5))"),"#N/A")</f>
        <v>#N/A</v>
      </c>
      <c r="J5" s="9" t="str">
        <f>IFERROR(__xludf.DUMMYFUNCTION("median(filter(processed_data!E:E,isnumber(processed_data!E:E),processed_data!$A:$A=$A5))"),"#N/A")</f>
        <v>#N/A</v>
      </c>
      <c r="K5" s="9" t="str">
        <f>IFERROR(__xludf.DUMMYFUNCTION("median(filter(processed_data!F:F,isnumber(processed_data!F:F),processed_data!$A:$A=$A5))"),"#N/A")</f>
        <v>#N/A</v>
      </c>
      <c r="L5" s="9" t="str">
        <f>IFERROR(__xludf.DUMMYFUNCTION("median(filter(processed_data!G:G,isnumber(processed_data!G:G),processed_data!$A:$A=$A5))"),"#N/A")</f>
        <v>#N/A</v>
      </c>
      <c r="M5" s="9" t="str">
        <f>IFERROR(__xludf.DUMMYFUNCTION("median(filter(processed_data!H:H,isnumber(processed_data!H:H),processed_data!$A:$A=$A5))"),"#N/A")</f>
        <v>#N/A</v>
      </c>
      <c r="N5" s="9" t="str">
        <f t="shared" si="1"/>
        <v>#DIV/0!</v>
      </c>
      <c r="O5" s="9" t="str">
        <f t="shared" si="2"/>
        <v>#DIV/0!</v>
      </c>
      <c r="P5" s="9">
        <f>COUNTIF(processed_data!$A:$A,A5)</f>
        <v>0</v>
      </c>
      <c r="Q5" s="9" t="str">
        <f>ROUND(AVERAGEIF(processed_data!$A:$A,$A5,processed_data!I:I),2)</f>
        <v>#DIV/0!</v>
      </c>
      <c r="R5" s="9" t="str">
        <f>IFERROR(__xludf.DUMMYFUNCTION("median(filter(processed_data!I:I,isnumber(processed_data!I:I),processed_data!$A:$A=$A5))"),"#N/A")</f>
        <v>#N/A</v>
      </c>
    </row>
    <row r="6">
      <c r="A6" s="4" t="s">
        <v>80</v>
      </c>
      <c r="B6" s="9" t="str">
        <f>ROUND(AVERAGEIF(processed_data!$A:$A,$A6,processed_data!C:C),2)</f>
        <v>#DIV/0!</v>
      </c>
      <c r="C6" s="9" t="str">
        <f>ROUND(AVERAGEIF(processed_data!$A:$A,$A6,processed_data!D:D),2)</f>
        <v>#DIV/0!</v>
      </c>
      <c r="D6" s="9" t="str">
        <f>ROUND(AVERAGEIF(processed_data!$A:$A,$A6,processed_data!E:E),2)</f>
        <v>#DIV/0!</v>
      </c>
      <c r="E6" s="9" t="str">
        <f>ROUND(AVERAGEIF(processed_data!$A:$A,$A6,processed_data!F:F),2)</f>
        <v>#DIV/0!</v>
      </c>
      <c r="F6" s="9" t="str">
        <f>ROUND(AVERAGEIF(processed_data!$A:$A,$A6,processed_data!G:G),2)</f>
        <v>#DIV/0!</v>
      </c>
      <c r="G6" s="9" t="str">
        <f>ROUND(AVERAGEIF(processed_data!$A:$A,$A6,processed_data!H:H),2)</f>
        <v>#DIV/0!</v>
      </c>
      <c r="H6" s="9" t="str">
        <f>IFERROR(__xludf.DUMMYFUNCTION("median(filter(processed_data!C:C,isnumber(processed_data!C:C),processed_data!$A:$A=$A6))"),"#N/A")</f>
        <v>#N/A</v>
      </c>
      <c r="I6" s="9" t="str">
        <f>IFERROR(__xludf.DUMMYFUNCTION("median(filter(processed_data!D:D,isnumber(processed_data!D:D),processed_data!$A:$A=$A6))"),"#N/A")</f>
        <v>#N/A</v>
      </c>
      <c r="J6" s="9" t="str">
        <f>IFERROR(__xludf.DUMMYFUNCTION("median(filter(processed_data!E:E,isnumber(processed_data!E:E),processed_data!$A:$A=$A6))"),"#N/A")</f>
        <v>#N/A</v>
      </c>
      <c r="K6" s="9" t="str">
        <f>IFERROR(__xludf.DUMMYFUNCTION("median(filter(processed_data!F:F,isnumber(processed_data!F:F),processed_data!$A:$A=$A6))"),"#N/A")</f>
        <v>#N/A</v>
      </c>
      <c r="L6" s="9" t="str">
        <f>IFERROR(__xludf.DUMMYFUNCTION("median(filter(processed_data!G:G,isnumber(processed_data!G:G),processed_data!$A:$A=$A6))"),"#N/A")</f>
        <v>#N/A</v>
      </c>
      <c r="M6" s="9" t="str">
        <f>IFERROR(__xludf.DUMMYFUNCTION("median(filter(processed_data!H:H,isnumber(processed_data!H:H),processed_data!$A:$A=$A6))"),"#N/A")</f>
        <v>#N/A</v>
      </c>
      <c r="N6" s="9" t="str">
        <f t="shared" si="1"/>
        <v>#DIV/0!</v>
      </c>
      <c r="O6" s="9" t="str">
        <f t="shared" si="2"/>
        <v>#DIV/0!</v>
      </c>
      <c r="P6" s="9">
        <f>COUNTIF(processed_data!$A:$A,A6)</f>
        <v>0</v>
      </c>
      <c r="Q6" s="9" t="str">
        <f>ROUND(AVERAGEIF(processed_data!$A:$A,$A6,processed_data!I:I),2)</f>
        <v>#DIV/0!</v>
      </c>
      <c r="R6" s="9" t="str">
        <f>IFERROR(__xludf.DUMMYFUNCTION("median(filter(processed_data!I:I,isnumber(processed_data!I:I),processed_data!$A:$A=$A6))"),"#N/A")</f>
        <v>#N/A</v>
      </c>
    </row>
    <row r="7">
      <c r="A7" s="4" t="s">
        <v>81</v>
      </c>
      <c r="B7" s="9" t="str">
        <f>ROUND(AVERAGEIF(processed_data!$A:$A,$A7,processed_data!C:C),2)</f>
        <v>#DIV/0!</v>
      </c>
      <c r="C7" s="9" t="str">
        <f>ROUND(AVERAGEIF(processed_data!$A:$A,$A7,processed_data!D:D),2)</f>
        <v>#DIV/0!</v>
      </c>
      <c r="D7" s="9" t="str">
        <f>ROUND(AVERAGEIF(processed_data!$A:$A,$A7,processed_data!E:E),2)</f>
        <v>#DIV/0!</v>
      </c>
      <c r="E7" s="9" t="str">
        <f>ROUND(AVERAGEIF(processed_data!$A:$A,$A7,processed_data!F:F),2)</f>
        <v>#DIV/0!</v>
      </c>
      <c r="F7" s="9" t="str">
        <f>ROUND(AVERAGEIF(processed_data!$A:$A,$A7,processed_data!G:G),2)</f>
        <v>#DIV/0!</v>
      </c>
      <c r="G7" s="9" t="str">
        <f>ROUND(AVERAGEIF(processed_data!$A:$A,$A7,processed_data!H:H),2)</f>
        <v>#DIV/0!</v>
      </c>
      <c r="H7" s="9" t="str">
        <f>IFERROR(__xludf.DUMMYFUNCTION("median(filter(processed_data!C:C,isnumber(processed_data!C:C),processed_data!$A:$A=$A7))"),"#N/A")</f>
        <v>#N/A</v>
      </c>
      <c r="I7" s="9" t="str">
        <f>IFERROR(__xludf.DUMMYFUNCTION("median(filter(processed_data!D:D,isnumber(processed_data!D:D),processed_data!$A:$A=$A7))"),"#N/A")</f>
        <v>#N/A</v>
      </c>
      <c r="J7" s="9" t="str">
        <f>IFERROR(__xludf.DUMMYFUNCTION("median(filter(processed_data!E:E,isnumber(processed_data!E:E),processed_data!$A:$A=$A7))"),"#N/A")</f>
        <v>#N/A</v>
      </c>
      <c r="K7" s="9" t="str">
        <f>IFERROR(__xludf.DUMMYFUNCTION("median(filter(processed_data!F:F,isnumber(processed_data!F:F),processed_data!$A:$A=$A7))"),"#N/A")</f>
        <v>#N/A</v>
      </c>
      <c r="L7" s="9" t="str">
        <f>IFERROR(__xludf.DUMMYFUNCTION("median(filter(processed_data!G:G,isnumber(processed_data!G:G),processed_data!$A:$A=$A7))"),"#N/A")</f>
        <v>#N/A</v>
      </c>
      <c r="M7" s="9" t="str">
        <f>IFERROR(__xludf.DUMMYFUNCTION("median(filter(processed_data!H:H,isnumber(processed_data!H:H),processed_data!$A:$A=$A7))"),"#N/A")</f>
        <v>#N/A</v>
      </c>
      <c r="N7" s="9" t="str">
        <f t="shared" si="1"/>
        <v>#DIV/0!</v>
      </c>
      <c r="O7" s="9" t="str">
        <f t="shared" si="2"/>
        <v>#DIV/0!</v>
      </c>
      <c r="P7" s="9">
        <f>COUNTIF(processed_data!$A:$A,A7)</f>
        <v>0</v>
      </c>
      <c r="Q7" s="9" t="str">
        <f>ROUND(AVERAGEIF(processed_data!$A:$A,$A7,processed_data!I:I),2)</f>
        <v>#DIV/0!</v>
      </c>
      <c r="R7" s="9" t="str">
        <f>IFERROR(__xludf.DUMMYFUNCTION("median(filter(processed_data!I:I,isnumber(processed_data!I:I),processed_data!$A:$A=$A7))"),"#N/A")</f>
        <v>#N/A</v>
      </c>
    </row>
    <row r="8">
      <c r="A8" s="4" t="s">
        <v>82</v>
      </c>
      <c r="B8" s="9" t="str">
        <f>ROUND(AVERAGEIF(processed_data!$A:$A,$A8,processed_data!C:C),2)</f>
        <v>#DIV/0!</v>
      </c>
      <c r="C8" s="9" t="str">
        <f>ROUND(AVERAGEIF(processed_data!$A:$A,$A8,processed_data!D:D),2)</f>
        <v>#DIV/0!</v>
      </c>
      <c r="D8" s="9" t="str">
        <f>ROUND(AVERAGEIF(processed_data!$A:$A,$A8,processed_data!E:E),2)</f>
        <v>#DIV/0!</v>
      </c>
      <c r="E8" s="9" t="str">
        <f>ROUND(AVERAGEIF(processed_data!$A:$A,$A8,processed_data!F:F),2)</f>
        <v>#DIV/0!</v>
      </c>
      <c r="F8" s="9" t="str">
        <f>ROUND(AVERAGEIF(processed_data!$A:$A,$A8,processed_data!G:G),2)</f>
        <v>#DIV/0!</v>
      </c>
      <c r="G8" s="9" t="str">
        <f>ROUND(AVERAGEIF(processed_data!$A:$A,$A8,processed_data!H:H),2)</f>
        <v>#DIV/0!</v>
      </c>
      <c r="H8" s="9" t="str">
        <f>IFERROR(__xludf.DUMMYFUNCTION("median(filter(processed_data!C:C,isnumber(processed_data!C:C),processed_data!$A:$A=$A8))"),"#N/A")</f>
        <v>#N/A</v>
      </c>
      <c r="I8" s="9" t="str">
        <f>IFERROR(__xludf.DUMMYFUNCTION("median(filter(processed_data!D:D,isnumber(processed_data!D:D),processed_data!$A:$A=$A8))"),"#N/A")</f>
        <v>#N/A</v>
      </c>
      <c r="J8" s="9" t="str">
        <f>IFERROR(__xludf.DUMMYFUNCTION("median(filter(processed_data!E:E,isnumber(processed_data!E:E),processed_data!$A:$A=$A8))"),"#N/A")</f>
        <v>#N/A</v>
      </c>
      <c r="K8" s="9" t="str">
        <f>IFERROR(__xludf.DUMMYFUNCTION("median(filter(processed_data!F:F,isnumber(processed_data!F:F),processed_data!$A:$A=$A8))"),"#N/A")</f>
        <v>#N/A</v>
      </c>
      <c r="L8" s="9" t="str">
        <f>IFERROR(__xludf.DUMMYFUNCTION("median(filter(processed_data!G:G,isnumber(processed_data!G:G),processed_data!$A:$A=$A8))"),"#N/A")</f>
        <v>#N/A</v>
      </c>
      <c r="M8" s="9" t="str">
        <f>IFERROR(__xludf.DUMMYFUNCTION("median(filter(processed_data!H:H,isnumber(processed_data!H:H),processed_data!$A:$A=$A8))"),"#N/A")</f>
        <v>#N/A</v>
      </c>
      <c r="N8" s="9" t="str">
        <f t="shared" si="1"/>
        <v>#DIV/0!</v>
      </c>
      <c r="O8" s="9" t="str">
        <f t="shared" si="2"/>
        <v>#DIV/0!</v>
      </c>
      <c r="P8" s="9">
        <f>COUNTIF(processed_data!$A:$A,A8)</f>
        <v>0</v>
      </c>
      <c r="Q8" s="9" t="str">
        <f>ROUND(AVERAGEIF(processed_data!$A:$A,$A8,processed_data!I:I),2)</f>
        <v>#DIV/0!</v>
      </c>
      <c r="R8" s="9" t="str">
        <f>IFERROR(__xludf.DUMMYFUNCTION("median(filter(processed_data!I:I,isnumber(processed_data!I:I),processed_data!$A:$A=$A8))"),"#N/A")</f>
        <v>#N/A</v>
      </c>
    </row>
    <row r="9">
      <c r="A9" s="4" t="s">
        <v>83</v>
      </c>
      <c r="B9" s="9" t="str">
        <f>ROUND(AVERAGEIF(processed_data!$A:$A,$A9,processed_data!C:C),2)</f>
        <v>#DIV/0!</v>
      </c>
      <c r="C9" s="9" t="str">
        <f>ROUND(AVERAGEIF(processed_data!$A:$A,$A9,processed_data!D:D),2)</f>
        <v>#DIV/0!</v>
      </c>
      <c r="D9" s="9" t="str">
        <f>ROUND(AVERAGEIF(processed_data!$A:$A,$A9,processed_data!E:E),2)</f>
        <v>#DIV/0!</v>
      </c>
      <c r="E9" s="9" t="str">
        <f>ROUND(AVERAGEIF(processed_data!$A:$A,$A9,processed_data!F:F),2)</f>
        <v>#DIV/0!</v>
      </c>
      <c r="F9" s="9" t="str">
        <f>ROUND(AVERAGEIF(processed_data!$A:$A,$A9,processed_data!G:G),2)</f>
        <v>#DIV/0!</v>
      </c>
      <c r="G9" s="9" t="str">
        <f>ROUND(AVERAGEIF(processed_data!$A:$A,$A9,processed_data!H:H),2)</f>
        <v>#DIV/0!</v>
      </c>
      <c r="H9" s="9" t="str">
        <f>IFERROR(__xludf.DUMMYFUNCTION("median(filter(processed_data!C:C,isnumber(processed_data!C:C),processed_data!$A:$A=$A9))"),"#N/A")</f>
        <v>#N/A</v>
      </c>
      <c r="I9" s="9" t="str">
        <f>IFERROR(__xludf.DUMMYFUNCTION("median(filter(processed_data!D:D,isnumber(processed_data!D:D),processed_data!$A:$A=$A9))"),"#N/A")</f>
        <v>#N/A</v>
      </c>
      <c r="J9" s="9" t="str">
        <f>IFERROR(__xludf.DUMMYFUNCTION("median(filter(processed_data!E:E,isnumber(processed_data!E:E),processed_data!$A:$A=$A9))"),"#N/A")</f>
        <v>#N/A</v>
      </c>
      <c r="K9" s="9" t="str">
        <f>IFERROR(__xludf.DUMMYFUNCTION("median(filter(processed_data!F:F,isnumber(processed_data!F:F),processed_data!$A:$A=$A9))"),"#N/A")</f>
        <v>#N/A</v>
      </c>
      <c r="L9" s="9" t="str">
        <f>IFERROR(__xludf.DUMMYFUNCTION("median(filter(processed_data!G:G,isnumber(processed_data!G:G),processed_data!$A:$A=$A9))"),"#N/A")</f>
        <v>#N/A</v>
      </c>
      <c r="M9" s="9" t="str">
        <f>IFERROR(__xludf.DUMMYFUNCTION("median(filter(processed_data!H:H,isnumber(processed_data!H:H),processed_data!$A:$A=$A9))"),"#N/A")</f>
        <v>#N/A</v>
      </c>
      <c r="N9" s="9" t="str">
        <f t="shared" si="1"/>
        <v>#DIV/0!</v>
      </c>
      <c r="O9" s="9" t="str">
        <f t="shared" si="2"/>
        <v>#DIV/0!</v>
      </c>
      <c r="P9" s="9">
        <f>COUNTIF(processed_data!$A:$A,A9)</f>
        <v>0</v>
      </c>
      <c r="Q9" s="9" t="str">
        <f>ROUND(AVERAGEIF(processed_data!$A:$A,$A9,processed_data!I:I),2)</f>
        <v>#DIV/0!</v>
      </c>
      <c r="R9" s="9" t="str">
        <f>IFERROR(__xludf.DUMMYFUNCTION("median(filter(processed_data!I:I,isnumber(processed_data!I:I),processed_data!$A:$A=$A9))"),"#N/A")</f>
        <v>#N/A</v>
      </c>
    </row>
    <row r="10">
      <c r="A10" s="4" t="s">
        <v>84</v>
      </c>
      <c r="B10" s="9" t="str">
        <f>ROUND(AVERAGEIF(processed_data!$A:$A,$A10,processed_data!C:C),2)</f>
        <v>#DIV/0!</v>
      </c>
      <c r="C10" s="9" t="str">
        <f>ROUND(AVERAGEIF(processed_data!$A:$A,$A10,processed_data!D:D),2)</f>
        <v>#DIV/0!</v>
      </c>
      <c r="D10" s="9" t="str">
        <f>ROUND(AVERAGEIF(processed_data!$A:$A,$A10,processed_data!E:E),2)</f>
        <v>#DIV/0!</v>
      </c>
      <c r="E10" s="9" t="str">
        <f>ROUND(AVERAGEIF(processed_data!$A:$A,$A10,processed_data!F:F),2)</f>
        <v>#DIV/0!</v>
      </c>
      <c r="F10" s="9" t="str">
        <f>ROUND(AVERAGEIF(processed_data!$A:$A,$A10,processed_data!G:G),2)</f>
        <v>#DIV/0!</v>
      </c>
      <c r="G10" s="9" t="str">
        <f>ROUND(AVERAGEIF(processed_data!$A:$A,$A10,processed_data!H:H),2)</f>
        <v>#DIV/0!</v>
      </c>
      <c r="H10" s="9" t="str">
        <f>IFERROR(__xludf.DUMMYFUNCTION("median(filter(processed_data!C:C,isnumber(processed_data!C:C),processed_data!$A:$A=$A10))"),"#N/A")</f>
        <v>#N/A</v>
      </c>
      <c r="I10" s="9" t="str">
        <f>IFERROR(__xludf.DUMMYFUNCTION("median(filter(processed_data!D:D,isnumber(processed_data!D:D),processed_data!$A:$A=$A10))"),"#N/A")</f>
        <v>#N/A</v>
      </c>
      <c r="J10" s="9" t="str">
        <f>IFERROR(__xludf.DUMMYFUNCTION("median(filter(processed_data!E:E,isnumber(processed_data!E:E),processed_data!$A:$A=$A10))"),"#N/A")</f>
        <v>#N/A</v>
      </c>
      <c r="K10" s="9" t="str">
        <f>IFERROR(__xludf.DUMMYFUNCTION("median(filter(processed_data!F:F,isnumber(processed_data!F:F),processed_data!$A:$A=$A10))"),"#N/A")</f>
        <v>#N/A</v>
      </c>
      <c r="L10" s="9" t="str">
        <f>IFERROR(__xludf.DUMMYFUNCTION("median(filter(processed_data!G:G,isnumber(processed_data!G:G),processed_data!$A:$A=$A10))"),"#N/A")</f>
        <v>#N/A</v>
      </c>
      <c r="M10" s="9" t="str">
        <f>IFERROR(__xludf.DUMMYFUNCTION("median(filter(processed_data!H:H,isnumber(processed_data!H:H),processed_data!$A:$A=$A10))"),"#N/A")</f>
        <v>#N/A</v>
      </c>
      <c r="N10" s="9" t="str">
        <f t="shared" si="1"/>
        <v>#DIV/0!</v>
      </c>
      <c r="O10" s="9" t="str">
        <f t="shared" si="2"/>
        <v>#DIV/0!</v>
      </c>
      <c r="P10" s="9">
        <f>COUNTIF(processed_data!$A:$A,A10)</f>
        <v>0</v>
      </c>
      <c r="Q10" s="9" t="str">
        <f>ROUND(AVERAGEIF(processed_data!$A:$A,$A10,processed_data!I:I),2)</f>
        <v>#DIV/0!</v>
      </c>
      <c r="R10" s="9" t="str">
        <f>IFERROR(__xludf.DUMMYFUNCTION("median(filter(processed_data!I:I,isnumber(processed_data!I:I),processed_data!$A:$A=$A10))"),"#N/A")</f>
        <v>#N/A</v>
      </c>
    </row>
    <row r="11">
      <c r="A11" s="4" t="s">
        <v>85</v>
      </c>
      <c r="B11" s="9" t="str">
        <f>ROUND(AVERAGEIF(processed_data!$A:$A,$A11,processed_data!C:C),2)</f>
        <v>#DIV/0!</v>
      </c>
      <c r="C11" s="9" t="str">
        <f>ROUND(AVERAGEIF(processed_data!$A:$A,$A11,processed_data!D:D),2)</f>
        <v>#DIV/0!</v>
      </c>
      <c r="D11" s="9" t="str">
        <f>ROUND(AVERAGEIF(processed_data!$A:$A,$A11,processed_data!E:E),2)</f>
        <v>#DIV/0!</v>
      </c>
      <c r="E11" s="9" t="str">
        <f>ROUND(AVERAGEIF(processed_data!$A:$A,$A11,processed_data!F:F),2)</f>
        <v>#DIV/0!</v>
      </c>
      <c r="F11" s="9" t="str">
        <f>ROUND(AVERAGEIF(processed_data!$A:$A,$A11,processed_data!G:G),2)</f>
        <v>#DIV/0!</v>
      </c>
      <c r="G11" s="9" t="str">
        <f>ROUND(AVERAGEIF(processed_data!$A:$A,$A11,processed_data!H:H),2)</f>
        <v>#DIV/0!</v>
      </c>
      <c r="H11" s="9" t="str">
        <f>IFERROR(__xludf.DUMMYFUNCTION("median(filter(processed_data!C:C,isnumber(processed_data!C:C),processed_data!$A:$A=$A11))"),"#N/A")</f>
        <v>#N/A</v>
      </c>
      <c r="I11" s="9" t="str">
        <f>IFERROR(__xludf.DUMMYFUNCTION("median(filter(processed_data!D:D,isnumber(processed_data!D:D),processed_data!$A:$A=$A11))"),"#N/A")</f>
        <v>#N/A</v>
      </c>
      <c r="J11" s="9" t="str">
        <f>IFERROR(__xludf.DUMMYFUNCTION("median(filter(processed_data!E:E,isnumber(processed_data!E:E),processed_data!$A:$A=$A11))"),"#N/A")</f>
        <v>#N/A</v>
      </c>
      <c r="K11" s="9" t="str">
        <f>IFERROR(__xludf.DUMMYFUNCTION("median(filter(processed_data!F:F,isnumber(processed_data!F:F),processed_data!$A:$A=$A11))"),"#N/A")</f>
        <v>#N/A</v>
      </c>
      <c r="L11" s="9" t="str">
        <f>IFERROR(__xludf.DUMMYFUNCTION("median(filter(processed_data!G:G,isnumber(processed_data!G:G),processed_data!$A:$A=$A11))"),"#N/A")</f>
        <v>#N/A</v>
      </c>
      <c r="M11" s="9" t="str">
        <f>IFERROR(__xludf.DUMMYFUNCTION("median(filter(processed_data!H:H,isnumber(processed_data!H:H),processed_data!$A:$A=$A11))"),"#N/A")</f>
        <v>#N/A</v>
      </c>
      <c r="N11" s="9" t="str">
        <f t="shared" si="1"/>
        <v>#DIV/0!</v>
      </c>
      <c r="O11" s="9" t="str">
        <f t="shared" si="2"/>
        <v>#DIV/0!</v>
      </c>
      <c r="P11" s="9">
        <f>COUNTIF(processed_data!$A:$A,A11)</f>
        <v>0</v>
      </c>
      <c r="Q11" s="9" t="str">
        <f>ROUND(AVERAGEIF(processed_data!$A:$A,$A11,processed_data!I:I),2)</f>
        <v>#DIV/0!</v>
      </c>
      <c r="R11" s="9" t="str">
        <f>IFERROR(__xludf.DUMMYFUNCTION("median(filter(processed_data!I:I,isnumber(processed_data!I:I),processed_data!$A:$A=$A11))"),"#N/A")</f>
        <v>#N/A</v>
      </c>
    </row>
    <row r="12">
      <c r="A12" s="4" t="s">
        <v>86</v>
      </c>
      <c r="B12" s="9" t="str">
        <f>ROUND(AVERAGEIF(processed_data!$A:$A,$A12,processed_data!C:C),2)</f>
        <v>#DIV/0!</v>
      </c>
      <c r="C12" s="9" t="str">
        <f>ROUND(AVERAGEIF(processed_data!$A:$A,$A12,processed_data!D:D),2)</f>
        <v>#DIV/0!</v>
      </c>
      <c r="D12" s="9" t="str">
        <f>ROUND(AVERAGEIF(processed_data!$A:$A,$A12,processed_data!E:E),2)</f>
        <v>#DIV/0!</v>
      </c>
      <c r="E12" s="9" t="str">
        <f>ROUND(AVERAGEIF(processed_data!$A:$A,$A12,processed_data!F:F),2)</f>
        <v>#DIV/0!</v>
      </c>
      <c r="F12" s="9" t="str">
        <f>ROUND(AVERAGEIF(processed_data!$A:$A,$A12,processed_data!G:G),2)</f>
        <v>#DIV/0!</v>
      </c>
      <c r="G12" s="9" t="str">
        <f>ROUND(AVERAGEIF(processed_data!$A:$A,$A12,processed_data!H:H),2)</f>
        <v>#DIV/0!</v>
      </c>
      <c r="H12" s="9" t="str">
        <f>IFERROR(__xludf.DUMMYFUNCTION("median(filter(processed_data!C:C,isnumber(processed_data!C:C),processed_data!$A:$A=$A12))"),"#N/A")</f>
        <v>#N/A</v>
      </c>
      <c r="I12" s="9" t="str">
        <f>IFERROR(__xludf.DUMMYFUNCTION("median(filter(processed_data!D:D,isnumber(processed_data!D:D),processed_data!$A:$A=$A12))"),"#N/A")</f>
        <v>#N/A</v>
      </c>
      <c r="J12" s="9" t="str">
        <f>IFERROR(__xludf.DUMMYFUNCTION("median(filter(processed_data!E:E,isnumber(processed_data!E:E),processed_data!$A:$A=$A12))"),"#N/A")</f>
        <v>#N/A</v>
      </c>
      <c r="K12" s="9" t="str">
        <f>IFERROR(__xludf.DUMMYFUNCTION("median(filter(processed_data!F:F,isnumber(processed_data!F:F),processed_data!$A:$A=$A12))"),"#N/A")</f>
        <v>#N/A</v>
      </c>
      <c r="L12" s="9" t="str">
        <f>IFERROR(__xludf.DUMMYFUNCTION("median(filter(processed_data!G:G,isnumber(processed_data!G:G),processed_data!$A:$A=$A12))"),"#N/A")</f>
        <v>#N/A</v>
      </c>
      <c r="M12" s="9" t="str">
        <f>IFERROR(__xludf.DUMMYFUNCTION("median(filter(processed_data!H:H,isnumber(processed_data!H:H),processed_data!$A:$A=$A12))"),"#N/A")</f>
        <v>#N/A</v>
      </c>
      <c r="N12" s="9" t="str">
        <f t="shared" si="1"/>
        <v>#DIV/0!</v>
      </c>
      <c r="O12" s="9" t="str">
        <f t="shared" si="2"/>
        <v>#DIV/0!</v>
      </c>
      <c r="P12" s="9">
        <f>COUNTIF(processed_data!$A:$A,A12)</f>
        <v>0</v>
      </c>
      <c r="Q12" s="9" t="str">
        <f>ROUND(AVERAGEIF(processed_data!$A:$A,$A12,processed_data!I:I),2)</f>
        <v>#DIV/0!</v>
      </c>
      <c r="R12" s="9" t="str">
        <f>IFERROR(__xludf.DUMMYFUNCTION("median(filter(processed_data!I:I,isnumber(processed_data!I:I),processed_data!$A:$A=$A12))"),"#N/A")</f>
        <v>#N/A</v>
      </c>
    </row>
    <row r="13">
      <c r="A13" s="4" t="s">
        <v>87</v>
      </c>
      <c r="B13" s="9" t="str">
        <f>ROUND(AVERAGEIF(processed_data!$A:$A,$A13,processed_data!C:C),2)</f>
        <v>#DIV/0!</v>
      </c>
      <c r="C13" s="9" t="str">
        <f>ROUND(AVERAGEIF(processed_data!$A:$A,$A13,processed_data!D:D),2)</f>
        <v>#DIV/0!</v>
      </c>
      <c r="D13" s="9" t="str">
        <f>ROUND(AVERAGEIF(processed_data!$A:$A,$A13,processed_data!E:E),2)</f>
        <v>#DIV/0!</v>
      </c>
      <c r="E13" s="9" t="str">
        <f>ROUND(AVERAGEIF(processed_data!$A:$A,$A13,processed_data!F:F),2)</f>
        <v>#DIV/0!</v>
      </c>
      <c r="F13" s="9" t="str">
        <f>ROUND(AVERAGEIF(processed_data!$A:$A,$A13,processed_data!G:G),2)</f>
        <v>#DIV/0!</v>
      </c>
      <c r="G13" s="9" t="str">
        <f>ROUND(AVERAGEIF(processed_data!$A:$A,$A13,processed_data!H:H),2)</f>
        <v>#DIV/0!</v>
      </c>
      <c r="H13" s="9" t="str">
        <f>IFERROR(__xludf.DUMMYFUNCTION("median(filter(processed_data!C:C,isnumber(processed_data!C:C),processed_data!$A:$A=$A13))"),"#N/A")</f>
        <v>#N/A</v>
      </c>
      <c r="I13" s="9" t="str">
        <f>IFERROR(__xludf.DUMMYFUNCTION("median(filter(processed_data!D:D,isnumber(processed_data!D:D),processed_data!$A:$A=$A13))"),"#N/A")</f>
        <v>#N/A</v>
      </c>
      <c r="J13" s="9" t="str">
        <f>IFERROR(__xludf.DUMMYFUNCTION("median(filter(processed_data!E:E,isnumber(processed_data!E:E),processed_data!$A:$A=$A13))"),"#N/A")</f>
        <v>#N/A</v>
      </c>
      <c r="K13" s="9" t="str">
        <f>IFERROR(__xludf.DUMMYFUNCTION("median(filter(processed_data!F:F,isnumber(processed_data!F:F),processed_data!$A:$A=$A13))"),"#N/A")</f>
        <v>#N/A</v>
      </c>
      <c r="L13" s="9" t="str">
        <f>IFERROR(__xludf.DUMMYFUNCTION("median(filter(processed_data!G:G,isnumber(processed_data!G:G),processed_data!$A:$A=$A13))"),"#N/A")</f>
        <v>#N/A</v>
      </c>
      <c r="M13" s="9" t="str">
        <f>IFERROR(__xludf.DUMMYFUNCTION("median(filter(processed_data!H:H,isnumber(processed_data!H:H),processed_data!$A:$A=$A13))"),"#N/A")</f>
        <v>#N/A</v>
      </c>
      <c r="N13" s="9" t="str">
        <f t="shared" si="1"/>
        <v>#DIV/0!</v>
      </c>
      <c r="O13" s="9" t="str">
        <f t="shared" si="2"/>
        <v>#DIV/0!</v>
      </c>
      <c r="P13" s="9">
        <f>COUNTIF(processed_data!$A:$A,A13)</f>
        <v>0</v>
      </c>
      <c r="Q13" s="9" t="str">
        <f>ROUND(AVERAGEIF(processed_data!$A:$A,$A13,processed_data!I:I),2)</f>
        <v>#DIV/0!</v>
      </c>
      <c r="R13" s="9" t="str">
        <f>IFERROR(__xludf.DUMMYFUNCTION("median(filter(processed_data!I:I,isnumber(processed_data!I:I),processed_data!$A:$A=$A13))"),"#N/A")</f>
        <v>#N/A</v>
      </c>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24">
      <c r="A24" s="5" t="s">
        <v>88</v>
      </c>
    </row>
    <row r="25">
      <c r="A25" s="5" t="s">
        <v>89</v>
      </c>
      <c r="G25" s="5" t="s">
        <v>90</v>
      </c>
      <c r="M25" s="5" t="s">
        <v>91</v>
      </c>
      <c r="T25" s="5" t="s">
        <v>92</v>
      </c>
      <c r="Z25" s="5" t="s">
        <v>93</v>
      </c>
      <c r="AF25" s="5" t="s">
        <v>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 t="s">
        <v>95</v>
      </c>
    </row>
    <row r="2">
      <c r="A2" s="5" t="s">
        <v>96</v>
      </c>
    </row>
    <row r="3">
      <c r="A3" s="5" t="s">
        <v>97</v>
      </c>
    </row>
    <row r="4">
      <c r="A4" s="5" t="s">
        <v>98</v>
      </c>
    </row>
    <row r="5">
      <c r="A5" s="5" t="s">
        <v>99</v>
      </c>
    </row>
    <row r="6">
      <c r="A6" s="5" t="s">
        <v>100</v>
      </c>
    </row>
  </sheetData>
  <drawing r:id="rId1"/>
</worksheet>
</file>